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A1 Financial impact" state="visible" r:id="rId5"/>
    <sheet sheetId="3" name="A2 Observations" state="visible" r:id="rId6"/>
    <sheet sheetId="4" name="A3 Exceptions" state="visible" r:id="rId7"/>
    <sheet sheetId="5" name="A4 ITC mismatches" state="visible" r:id="rId8"/>
    <sheet sheetId="6" name="A5 RCM" state="visible" r:id="rId9"/>
    <sheet sheetId="7" name="A6 E-way bills" state="visible" r:id="rId10"/>
    <sheet sheetId="8" name="A7 Exports" state="visible" r:id="rId11"/>
    <sheet sheetId="9" name="A8 ISD" state="visible" r:id="rId12"/>
    <sheet sheetId="10" name="A9 Vendors" state="visible" r:id="rId13"/>
    <sheet sheetId="11" name="A10 Tax &amp; interest" state="visible" r:id="rId14"/>
    <sheet sheetId="12" name="A11 Checklist" state="visible" r:id="rId15"/>
    <sheet sheetId="13" name="A12 Pending documents" state="visible" r:id="rId16"/>
    <sheet sheetId="14" name="A13 Action tracker" state="visible" r:id="rId17"/>
  </sheets>
  <calcPr calcId="171027"/>
</workbook>
</file>

<file path=xl/sharedStrings.xml><?xml version="1.0" encoding="utf-8"?>
<sst xmlns="http://schemas.openxmlformats.org/spreadsheetml/2006/main" count="2173" uniqueCount="785">
  <si>
    <t>GST Health Check — Annexures</t>
  </si>
  <si>
    <t>Helix Diagnostics Manufacturing Private Limited | HGA-DEMO-1 | 2026-04-01 to 2026-06-30 | Generated 2026-10-24</t>
  </si>
  <si>
    <t>Strictly confidential — prepared for the management of Helix Diagnostics Manufacturing Private Limited</t>
  </si>
  <si>
    <t>A1</t>
  </si>
  <si>
    <t>Financial impact</t>
  </si>
  <si>
    <t>Financial impact at a glance (from the approved observations in the report)</t>
  </si>
  <si>
    <t>A2</t>
  </si>
  <si>
    <t>Observations</t>
  </si>
  <si>
    <t>Summary of observations with quantification</t>
  </si>
  <si>
    <t>A3</t>
  </si>
  <si>
    <t>Invoice-level exceptions</t>
  </si>
  <si>
    <t>All open and investigated exceptions with source references</t>
  </si>
  <si>
    <t>A4</t>
  </si>
  <si>
    <t>ITC mismatches</t>
  </si>
  <si>
    <t>Purchase register vs GSTR-2B vs GSTR-3B exceptions</t>
  </si>
  <si>
    <t>A5</t>
  </si>
  <si>
    <t>RCM calculations</t>
  </si>
  <si>
    <t>Reverse charge items with tax and interest workings</t>
  </si>
  <si>
    <t>A6</t>
  </si>
  <si>
    <t>E-way bill mismatches</t>
  </si>
  <si>
    <t>E-way bill vs sales exceptions</t>
  </si>
  <si>
    <t>A7</t>
  </si>
  <si>
    <t>Export documentation</t>
  </si>
  <si>
    <t>Export evidence completeness by invoice</t>
  </si>
  <si>
    <t>A8</t>
  </si>
  <si>
    <t>ISD reconciliation</t>
  </si>
  <si>
    <t>Input Service Distributor exceptions</t>
  </si>
  <si>
    <t>A9</t>
  </si>
  <si>
    <t>Vendor compliance</t>
  </si>
  <si>
    <t>Supplier-wise ITC exceptions and GSTIN validity</t>
  </si>
  <si>
    <t>A10</t>
  </si>
  <si>
    <t>Tax &amp; interest workings</t>
  </si>
  <si>
    <t>Line-level calculation snapshots for each observation</t>
  </si>
  <si>
    <t>A11</t>
  </si>
  <si>
    <t>Audit control checklist</t>
  </si>
  <si>
    <t>Status of every applicable control</t>
  </si>
  <si>
    <t>A12</t>
  </si>
  <si>
    <t>Pending documents</t>
  </si>
  <si>
    <t>Information requests not yet received or accepted</t>
  </si>
  <si>
    <t>A13</t>
  </si>
  <si>
    <t>Action tracker</t>
  </si>
  <si>
    <t>Priority action plan and corrective actions</t>
  </si>
  <si>
    <t>Financial impact at a glance</t>
  </si>
  <si>
    <t>Totals are entered as values so they agree with the report; unquantified observations are excluded from every total.</t>
  </si>
  <si>
    <t>Obs. / head</t>
  </si>
  <si>
    <t>Basis of the figure</t>
  </si>
  <si>
    <t>Amount (₹)</t>
  </si>
  <si>
    <t>Nature</t>
  </si>
  <si>
    <t>A. ITC wrongly availed — to be reversed</t>
  </si>
  <si>
    <t/>
  </si>
  <si>
    <t>IGST credit availed on a nil-duty FTWZ / warehoused bill of entry — 8047642</t>
  </si>
  <si>
    <t>Cash outflow</t>
  </si>
  <si>
    <t>B. RCM and output tax not discharged</t>
  </si>
  <si>
    <t>Reverse charge not discharged on import of services — 3 documents, Rs. 32,775</t>
  </si>
  <si>
    <t>TOTAL TAX PAYABLE</t>
  </si>
  <si>
    <t>Payable</t>
  </si>
  <si>
    <t>E. Less: ITC re-available</t>
  </si>
  <si>
    <t>Recoverable</t>
  </si>
  <si>
    <t>NET CASH OUTFLOW BEFORE INTEREST</t>
  </si>
  <si>
    <t>Net payable</t>
  </si>
  <si>
    <t>F. Contingent</t>
  </si>
  <si>
    <t>Disposal of fixed assets without tax invoice — Section 18(6) — FA-0723</t>
  </si>
  <si>
    <t>Contingent</t>
  </si>
  <si>
    <t>G/H. Recoverable / cash ledger transfer</t>
  </si>
  <si>
    <t>Balance lying unutilised in the electronic cash ledger</t>
  </si>
  <si>
    <t>In the company's favour</t>
  </si>
  <si>
    <t>I. Estimated interest (indicative)</t>
  </si>
  <si>
    <t>Additional</t>
  </si>
  <si>
    <t>J. Potential penalties (separate)</t>
  </si>
  <si>
    <t>Potential</t>
  </si>
  <si>
    <t>Obs. 3</t>
  </si>
  <si>
    <t>Tax declared in the Cess field of e-way bills instead of IGST — To be quantified</t>
  </si>
  <si>
    <t>Unquantified</t>
  </si>
  <si>
    <t>Obs. 5</t>
  </si>
  <si>
    <t>Export invoices filed in GSTR-1 without shipping bill number, date and port code — To be quantified</t>
  </si>
  <si>
    <t>Summary of observations</t>
  </si>
  <si>
    <t>No.</t>
  </si>
  <si>
    <t>Title</t>
  </si>
  <si>
    <t>Category</t>
  </si>
  <si>
    <t>Part</t>
  </si>
  <si>
    <t>GSTIN</t>
  </si>
  <si>
    <t>Risk</t>
  </si>
  <si>
    <t>Classification</t>
  </si>
  <si>
    <t>Tax (₹)</t>
  </si>
  <si>
    <t>Interest (₹)</t>
  </si>
  <si>
    <t>Potential penalty (₹)</t>
  </si>
  <si>
    <t>Impact</t>
  </si>
  <si>
    <t>Status</t>
  </si>
  <si>
    <t>Action owner</t>
  </si>
  <si>
    <t>Target date</t>
  </si>
  <si>
    <t>Imports / Customs</t>
  </si>
  <si>
    <t>27AABCH2468K1ZD</t>
  </si>
  <si>
    <t>critical</t>
  </si>
  <si>
    <t>confirmed</t>
  </si>
  <si>
    <t>Rs. 8,77,051</t>
  </si>
  <si>
    <t>approved</t>
  </si>
  <si>
    <t>RCM Default</t>
  </si>
  <si>
    <t>high</t>
  </si>
  <si>
    <t>probable</t>
  </si>
  <si>
    <t>Rs. 32,775</t>
  </si>
  <si>
    <t>Tax declared in the Cess field of e-way bills instead of IGST</t>
  </si>
  <si>
    <t>E-Way Bill</t>
  </si>
  <si>
    <t>To be quantified</t>
  </si>
  <si>
    <t>Ledgers / Working Capital</t>
  </si>
  <si>
    <t>opportunity</t>
  </si>
  <si>
    <t>potential_opportunity</t>
  </si>
  <si>
    <t>Rs. 24,75,430 recoverable</t>
  </si>
  <si>
    <t>Export invoices filed in GSTR-1 without shipping bill number, date and port code</t>
  </si>
  <si>
    <t>Export / Zero-Rating</t>
  </si>
  <si>
    <t>Fixed Assets</t>
  </si>
  <si>
    <t>Rs. 3,78,000 (contingent)</t>
  </si>
  <si>
    <t>Total (visible rows)</t>
  </si>
  <si>
    <t>Module</t>
  </si>
  <si>
    <t>Exception</t>
  </si>
  <si>
    <t>Document</t>
  </si>
  <si>
    <t>Date</t>
  </si>
  <si>
    <t>Counterparty</t>
  </si>
  <si>
    <t>Counterparty GSTIN</t>
  </si>
  <si>
    <t>Period</t>
  </si>
  <si>
    <t>Taxable diff. (₹)</t>
  </si>
  <si>
    <t>IGST (₹)</t>
  </si>
  <si>
    <t>CGST (₹)</t>
  </si>
  <si>
    <t>SGST (₹)</t>
  </si>
  <si>
    <t>Cess (₹)</t>
  </si>
  <si>
    <t>Tax diff. (₹)</t>
  </si>
  <si>
    <t>Description</t>
  </si>
  <si>
    <t>Observation</t>
  </si>
  <si>
    <t>Explanation</t>
  </si>
  <si>
    <t>Source rows (file v/row)</t>
  </si>
  <si>
    <t>B</t>
  </si>
  <si>
    <t>MISSING_IN_GSTR1</t>
  </si>
  <si>
    <t>HDM/2627/0004</t>
  </si>
  <si>
    <t>Southern Clinical Services LLP</t>
  </si>
  <si>
    <t>33AAJFS3333N1ZZ</t>
  </si>
  <si>
    <t>Invoice HDM/2627/0004 dated 02/04/2026 (taxable ₹1,95,814.76, tax ₹35,246.66) is recorded in the books but not reported in GSTR-1.</t>
  </si>
  <si>
    <t>open</t>
  </si>
  <si>
    <t>01_sales_register_MH.xlsx v1 r7</t>
  </si>
  <si>
    <t>CN_BEFORE_INVOICE</t>
  </si>
  <si>
    <t>HDM/CN/2627/01</t>
  </si>
  <si>
    <t>Delta Path Labs Ltd</t>
  </si>
  <si>
    <t>07AAACD1111L1Z4</t>
  </si>
  <si>
    <t>Credit note HDM/CN/2627/01 dated 12/04/2026 predates the invoice HDM/2627/0013 it adjusts (15/04/2026); a credit note presupposes a completed supply — Section 34(1).</t>
  </si>
  <si>
    <t>01_sales_register_MH.xlsx v1 r16; 01_sales_register_MH.xlsx v1 r52</t>
  </si>
  <si>
    <t>UNDER_REPORTED_IN_GSTR1</t>
  </si>
  <si>
    <t>HDM/2627/0011</t>
  </si>
  <si>
    <t>Unity Diagnostics Pvt Ltd</t>
  </si>
  <si>
    <t>24AAACU4444P1Z1</t>
  </si>
  <si>
    <t>Invoice HDM/2627/0011: books taxable ₹3,20,182.48 / tax ₹57,632.85 against GSTR-1 taxable ₹3,20,182.48 / tax ₹28,816.43.</t>
  </si>
  <si>
    <t>02_gstr1_MH.csv v1 r11; 01_sales_register_MH.xlsx v1 r14</t>
  </si>
  <si>
    <t>HDM/2627/0021</t>
  </si>
  <si>
    <t>Medicore Hospitals Pvt Ltd</t>
  </si>
  <si>
    <t>27AAACM2222M1ZL</t>
  </si>
  <si>
    <t>Invoice HDM/2627/0021 dated 04/05/2026 (taxable ₹2,65,325.56, tax ₹13,266.28) is recorded in the books but not reported in GSTR-1.</t>
  </si>
  <si>
    <t>01_sales_register_MH.xlsx v1 r24</t>
  </si>
  <si>
    <t>HDM/2627/0026</t>
  </si>
  <si>
    <t>Invoice HDM/2627/0026 dated 09/05/2026 (taxable ₹2,95,602.53, tax ₹35,472.30) is recorded in the books but not reported in GSTR-1.</t>
  </si>
  <si>
    <t>01_sales_register_MH.xlsx v1 r29</t>
  </si>
  <si>
    <t>LIABILITY_SHORT_IN_3B</t>
  </si>
  <si>
    <t>05/2026: liability declared in GSTR-3B (₹3,88,808.25) is lower than GSTR-1 (₹4,30,808.25) by ₹42,000.00; taxable value difference ₹0.00. Due date 20/06/2026.</t>
  </si>
  <si>
    <t>03_gstr3b_MH.csv v1 r5; 03_gstr3b_MH.csv v1 r6; 02_gstr1_MH.csv v1 r15; 02_gstr1_MH.csv v1 r16; 02_gstr1_MH.csv v1 r17; 02_gstr1_MH.csv v1 r18; 02_gstr1_MH.csv v1 r19; 02_gstr1_MH.csv v1 r20; 02_gstr1_MH.csv v1 r21; 02_gstr1_MH.csv v1 r22; 02_gstr1_MH.csv v1 r23; 02_gstr1_MH.csv v1 r24; 02_gstr1_MH.csv v1 r25; 02_gstr1_MH.csv v1 r26; 02_gstr1_MH.csv v1 r44; 02_gstr1_MH.csv v1 r45</t>
  </si>
  <si>
    <t>CN_HSN_DIFFERS</t>
  </si>
  <si>
    <t>medium</t>
  </si>
  <si>
    <t>Credit note HDM/CN/2627/01 carries HSN 30024110 whereas the original invoice HDM/2627/0013 carries HSN 30021500; the two documents do not describe the same goods.</t>
  </si>
  <si>
    <t>GSTIN_MISMATCH</t>
  </si>
  <si>
    <t>HDM/2627/0016</t>
  </si>
  <si>
    <t>Invoice HDM/2627/0016: recipient GSTIN in books 24AAACU4444P1Z1 differs from GSTIN reported in GSTR-1 24AAACZ9876Z1ZQ; the recipient's credit is at risk.</t>
  </si>
  <si>
    <t>02_gstr1_MH.csv v1 r16; 01_sales_register_MH.xlsx v1 r19</t>
  </si>
  <si>
    <t>DUPLICATE_IN_BOOKS</t>
  </si>
  <si>
    <t>HDM/2627/0031</t>
  </si>
  <si>
    <t>Invoice HDM/2627/0031 is recorded more than once in the sales register (repeat lines: tax ₹7,243.28).</t>
  </si>
  <si>
    <t>requires_investigation</t>
  </si>
  <si>
    <t>01_sales_register_MH.xlsx v1 r46</t>
  </si>
  <si>
    <t>MISSING_IN_BOOKS</t>
  </si>
  <si>
    <t>HDM/2627/9001</t>
  </si>
  <si>
    <t>Invoice HDM/2627/9001 is reported in GSTR-1 (taxable ₹75,000.00) but is not in the sales register.</t>
  </si>
  <si>
    <t>02_gstr1_MH.csv v1 r41</t>
  </si>
  <si>
    <t>TIMING_DIFFERENCE</t>
  </si>
  <si>
    <t>04/2026: GSTR-1 tax ₹5,27,249.11 vs GSTR-3B ₹4,97,249.11 — offset in an adjoining month; interest under Section 50(1) applies for the period of delay on ₹30,000.00.</t>
  </si>
  <si>
    <t>02_gstr1_MH.csv v1 r2; 03_gstr3b_MH.csv v1 r2; 03_gstr3b_MH.csv v1 r3; 02_gstr1_MH.csv v1 r3; 02_gstr1_MH.csv v1 r4; 02_gstr1_MH.csv v1 r5; 02_gstr1_MH.csv v1 r6; 02_gstr1_MH.csv v1 r7; 02_gstr1_MH.csv v1 r8; 02_gstr1_MH.csv v1 r9; 02_gstr1_MH.csv v1 r10; 02_gstr1_MH.csv v1 r11; 02_gstr1_MH.csv v1 r12; 02_gstr1_MH.csv v1 r13; 02_gstr1_MH.csv v1 r14; 02_gstr1_MH.csv v1 r42; 02_gstr1_MH.csv v1 r43; 02_gstr1_MH.csv v1 r47</t>
  </si>
  <si>
    <t>06/2026: GSTR-1 tax ₹4,52,698.91 vs GSTR-3B ₹4,82,698.91 — offset in an adjoining month; interest under Section 50(1) applies for the period of delay on ₹0.00.</t>
  </si>
  <si>
    <t>03_gstr3b_MH.csv v1 r8; 03_gstr3b_MH.csv v1 r9; 02_gstr1_MH.csv v1 r27; 02_gstr1_MH.csv v1 r28; 02_gstr1_MH.csv v1 r29; 02_gstr1_MH.csv v1 r30; 02_gstr1_MH.csv v1 r31; 02_gstr1_MH.csv v1 r32; 02_gstr1_MH.csv v1 r33; 02_gstr1_MH.csv v1 r34; 02_gstr1_MH.csv v1 r35; 02_gstr1_MH.csv v1 r36; 02_gstr1_MH.csv v1 r37; 02_gstr1_MH.csv v1 r38; 02_gstr1_MH.csv v1 r39; 02_gstr1_MH.csv v1 r40; 02_gstr1_MH.csv v1 r41; 02_gstr1_MH.csv v1 r46</t>
  </si>
  <si>
    <t>C</t>
  </si>
  <si>
    <t>ITC_TIME_BARRED</t>
  </si>
  <si>
    <t>REAGENT/OLD/77</t>
  </si>
  <si>
    <t>Reagent Chem Industries</t>
  </si>
  <si>
    <t>27AAFCR6666R1ZD</t>
  </si>
  <si>
    <t>ITC of ₹1,800.00 on REAGENT/OLD/77 dated 10/05/2024 was claimed in the return for 04/2026, after the Section 16(4) cut-off of 30/11/2025.</t>
  </si>
  <si>
    <t>05_gstr2b_MH_042026.json v1 r4; 04_purchase_register_MH.csv v1 r34</t>
  </si>
  <si>
    <t>CLAIMED_NOT_IN_2B</t>
  </si>
  <si>
    <t>SWIFT/3</t>
  </si>
  <si>
    <t>Swift Logistics Pvt Ltd</t>
  </si>
  <si>
    <t>27AAECS8888T1ZX</t>
  </si>
  <si>
    <t>ITC of ₹16,975.24 claimed on invoice SWIFT/3 (Swift Logistics Pvt Ltd) which does not appear in GSTR-2B — Section 16(2)(aa).</t>
  </si>
  <si>
    <t>04_purchase_register_MH.csv v1 r4</t>
  </si>
  <si>
    <t>TECHCARE/14</t>
  </si>
  <si>
    <t>TechCare Services</t>
  </si>
  <si>
    <t>29AAFFT9999U1ZD</t>
  </si>
  <si>
    <t>ITC of ₹10,865.92 claimed on invoice TECHCARE/14 (TechCare Services) which does not appear in GSTR-2B — Section 16(2)(aa).</t>
  </si>
  <si>
    <t>04_purchase_register_MH.csv v1 r15</t>
  </si>
  <si>
    <t>DUPLICATE_ITC</t>
  </si>
  <si>
    <t>TECHCARE/18</t>
  </si>
  <si>
    <t>Invoice TECHCARE/18 from 29AAFFT9999U1ZD is booked more than once; duplicate ITC of ₹7,895.02 claimed.</t>
  </si>
  <si>
    <t>04_purchase_register_MH.csv v1 r32</t>
  </si>
  <si>
    <t>PRECISION/26</t>
  </si>
  <si>
    <t>Precision Packaging Co</t>
  </si>
  <si>
    <t>27AABFP7777S1Z5</t>
  </si>
  <si>
    <t>ITC of ₹7,079.22 claimed on invoice PRECISION/26 (Precision Packaging Co) which does not appear in GSTR-2B — Section 16(2)(aa).</t>
  </si>
  <si>
    <t>04_purchase_register_MH.csv v1 r27</t>
  </si>
  <si>
    <t>ITC_3B_EXCEEDS_2B</t>
  </si>
  <si>
    <t>06/2026: ITC claimed in GSTR-3B Table 4(A)(5) ₹2,23,910.81 exceeds ITC available in GSTR-2B ₹2,22,231.63 by ₹1,679.18.</t>
  </si>
  <si>
    <t>03_gstr3b_MH.csv v1 r10</t>
  </si>
  <si>
    <t>04/2026: ITC claimed in GSTR-3B Table 4(A)(5) ₹10,97,116.69 exceeds ITC available in GSTR-2B ₹2,03,090.47 by ₹8,94,026.22.</t>
  </si>
  <si>
    <t>03_gstr3b_MH.csv v1 r4</t>
  </si>
  <si>
    <t>05/2026: ITC claimed in GSTR-3B Table 4(A)(5) ₹1,91,003.01 exceeds ITC available in GSTR-2B ₹1,81,242.12 by ₹9,760.89.</t>
  </si>
  <si>
    <t>03_gstr3b_MH.csv v1 r7</t>
  </si>
  <si>
    <t>BLOCKED_ITC_17_5</t>
  </si>
  <si>
    <t>LIFE/KM/552</t>
  </si>
  <si>
    <t>Lifeline Insurance Co Ltd</t>
  </si>
  <si>
    <t>27AAACL1212V1Z8</t>
  </si>
  <si>
    <t>ITC of ₹36,000.00 claimed on LIFE/KM/552 (Insurance - Key Man Policy Lifeline Insurance Co Ltd) appears to relate to life or health insurance — blocked under Section 17(5)(b)(i) unless an exception applies.</t>
  </si>
  <si>
    <t>04_purchase_register_MH.csv v1 r33</t>
  </si>
  <si>
    <t>NEGATIVE_ITC_BALANCE</t>
  </si>
  <si>
    <t>Input tax ledger "Input IGST" shows a credit (negative) balance of ₹12,500.00; credit may have been reversed in books but not in the return, or utilised in excess.</t>
  </si>
  <si>
    <t>11_trial_balance.csv v1 r4</t>
  </si>
  <si>
    <t>IN_2B_NOT_IN_BOOKS</t>
  </si>
  <si>
    <t>SWIFT/9911</t>
  </si>
  <si>
    <t>Invoice SWIFT/9911 from Swift Logistics Pvt Ltd with ITC ₹9,000.00 is in GSTR-2B but not in the purchase register; credit may be claimed by 30/11/2027 if eligible.</t>
  </si>
  <si>
    <t>05_gstr2b_MH_052026.json v2 r9</t>
  </si>
  <si>
    <t>TECH/7781</t>
  </si>
  <si>
    <t>Invoice TECH/7781 from TechCare Services with ITC ₹5,400.00 is in GSTR-2B but not in the purchase register; credit may be claimed by 30/11/2027 if eligible.</t>
  </si>
  <si>
    <t>05_gstr2b_MH_062026.json v3 r10</t>
  </si>
  <si>
    <t>D</t>
  </si>
  <si>
    <t>RCM_IMPORT_OF_SERVICES</t>
  </si>
  <si>
    <t>SER/2627/1498</t>
  </si>
  <si>
    <t>DataSuite Ltd</t>
  </si>
  <si>
    <t>Voucher SER/2627/1498 (Software Expenses) records a payment of ₹1,47,256.00 to an overseas party; IGST under reverse charge of ₹26,506.08 at 18% (rate assumed — confirm classification) does not appear to have been discharged (Section 5(3) IGST Act; import of services). Indicative interest to 24/10/2026: ₹1,647.00.</t>
  </si>
  <si>
    <t>converted</t>
  </si>
  <si>
    <t>10_general_ledger.csv v1 r3</t>
  </si>
  <si>
    <t>SER/2627/632</t>
  </si>
  <si>
    <t>CloudLab Inc</t>
  </si>
  <si>
    <t>Voucher SER/2627/632 (Software Expenses) records a payment of ₹23,267.00 to an overseas party; IGST under reverse charge of ₹4,188.06 at 18% (rate assumed — confirm classification) does not appear to have been discharged (Section 5(3) IGST Act; import of services). Indicative interest to 24/10/2026: ₹260.00.</t>
  </si>
  <si>
    <t>10_general_ledger.csv v1 r2</t>
  </si>
  <si>
    <t>BP/2627/358</t>
  </si>
  <si>
    <t>Helix Holdings KK</t>
  </si>
  <si>
    <t>Voucher BP/2627/358 (Insurance Expenses) records a payment of ₹11,562.00 to an overseas party; IGST under reverse charge of ₹2,081.16 at 18% (rate assumed — confirm classification) does not appear to have been discharged (Section 5(3) IGST Act; import of services). Indicative interest to 24/10/2026: ₹99.00.</t>
  </si>
  <si>
    <t>10_general_ledger.csv v1 r4</t>
  </si>
  <si>
    <t>RCM_NOTIFIED</t>
  </si>
  <si>
    <t>JV/2627/221</t>
  </si>
  <si>
    <t>Adv. R. Mehta</t>
  </si>
  <si>
    <t>Voucher JV/2627/221 (Legal Fees): expense resembling legal services by an advocate / firm of advocates; if the supplier's status brings it under Notification 13/2017-CT(R), entry 2, tax of about ₹8,100.00 at 18% is payable under reverse charge.</t>
  </si>
  <si>
    <t>10_general_ledger.csv v1 r5</t>
  </si>
  <si>
    <t>JV/2627/240</t>
  </si>
  <si>
    <t>Rakesh Patil</t>
  </si>
  <si>
    <t>Voucher JV/2627/240 (Office Rent): expense resembling renting of property by an unregistered person; if the supplier's status brings it under Notification 13/2017-CT(R) (renting of residential dwelling / commercial property entries), tax of about ₹10,800.00 at 18% is payable under reverse charge.</t>
  </si>
  <si>
    <t>10_general_ledger.csv v1 r6</t>
  </si>
  <si>
    <t>F</t>
  </si>
  <si>
    <t>IRN_NOT_IN_GSTR1</t>
  </si>
  <si>
    <t>E-invoice (IRN) generated for HDM/2627/0004 dated 02/04/2026 (taxable ₹1,95,814.76, tax ₹35,246.66) but the supply is not reported in GSTR-1.</t>
  </si>
  <si>
    <t>07_einvoice_register_MH.csv v1 r5</t>
  </si>
  <si>
    <t>GSTR1_WITHOUT_IRN</t>
  </si>
  <si>
    <t>HDM/EXP/2627/1</t>
  </si>
  <si>
    <t>HDM/EXP/2627/1 (B2B/export) is reported in GSTR-1 without a matching active IRN although e-invoicing applies from 01/08/2023.</t>
  </si>
  <si>
    <t>02_gstr1_MH.csv v1 r42</t>
  </si>
  <si>
    <t>HDM/EXP/2627/2</t>
  </si>
  <si>
    <t>HDM/EXP/2627/2 (B2B/export) is reported in GSTR-1 without a matching active IRN although e-invoicing applies from 01/08/2023.</t>
  </si>
  <si>
    <t>02_gstr1_MH.csv v1 r43</t>
  </si>
  <si>
    <t>HDM/CN/2627/01 (B2B/export) is reported in GSTR-1 without a matching active IRN although e-invoicing applies from 01/08/2023.</t>
  </si>
  <si>
    <t>02_gstr1_MH.csv v1 r47</t>
  </si>
  <si>
    <t>E-invoice (IRN) generated for HDM/2627/0021 dated 04/05/2026 (taxable ₹2,65,325.56, tax ₹13,266.28) but the supply is not reported in GSTR-1.</t>
  </si>
  <si>
    <t>07_einvoice_register_MH.csv v1 r22</t>
  </si>
  <si>
    <t>E-invoice (IRN) generated for HDM/2627/0026 dated 09/05/2026 (taxable ₹2,95,602.53, tax ₹35,472.30) but the supply is not reported in GSTR-1.</t>
  </si>
  <si>
    <t>07_einvoice_register_MH.csv v1 r27</t>
  </si>
  <si>
    <t>HDM/EXP/2627/3</t>
  </si>
  <si>
    <t>HDM/EXP/2627/3 (B2B/export) is reported in GSTR-1 without a matching active IRN although e-invoicing applies from 01/08/2023.</t>
  </si>
  <si>
    <t>02_gstr1_MH.csv v1 r44</t>
  </si>
  <si>
    <t>HDM/EXP/2627/4</t>
  </si>
  <si>
    <t>HDM/EXP/2627/4 (B2B/export) is reported in GSTR-1 without a matching active IRN although e-invoicing applies from 01/08/2023.</t>
  </si>
  <si>
    <t>02_gstr1_MH.csv v1 r45</t>
  </si>
  <si>
    <t>HDM/EXP/2627/5</t>
  </si>
  <si>
    <t>HDM/EXP/2627/5 (B2B/export) is reported in GSTR-1 without a matching active IRN although e-invoicing applies from 01/08/2023.</t>
  </si>
  <si>
    <t>02_gstr1_MH.csv v1 r46</t>
  </si>
  <si>
    <t>HDM/2627/9001 (B2B/export) is reported in GSTR-1 without a matching active IRN although e-invoicing applies from 01/08/2023.</t>
  </si>
  <si>
    <t>IRN_GSTR1_VALUE_MISMATCH</t>
  </si>
  <si>
    <t>HDM/2627/0011: e-invoice taxable ₹3,20,182.48 vs GSTR-1 ₹3,20,182.48 (tax difference ₹28,816.42).</t>
  </si>
  <si>
    <t>02_gstr1_MH.csv v1 r11; 07_einvoice_register_MH.csv v1 r12</t>
  </si>
  <si>
    <t>G</t>
  </si>
  <si>
    <t>EWB_TAX_IN_CESS</t>
  </si>
  <si>
    <t>3 e-way bill(s) declare tax of ₹99,312.89 in the Cess field instead of IGST/CGST/SGST; the documents misstate the tax head and are exposed to detention under Section 129.</t>
  </si>
  <si>
    <t>06_eway_bills_MH.csv v1 r7; 06_eway_bills_MH.csv v1 r8; 06_eway_bills_MH.csv v1 r9</t>
  </si>
  <si>
    <t>EWB_TAX_HEAD_MISMATCH</t>
  </si>
  <si>
    <t>HDM/2627/0007</t>
  </si>
  <si>
    <t>E-way bill for HDM/2627/0007 declares tax under a different head (IGST ₹0.00, CGST+SGST ₹0.00, cess ₹58,693.41) from the invoice.</t>
  </si>
  <si>
    <t>06_eway_bills_MH.csv v1 r8; 01_sales_register_MH.xlsx v1 r10</t>
  </si>
  <si>
    <t>EWB_VALUE_MISMATCH</t>
  </si>
  <si>
    <t>E-way bill for HDM/2627/0007: taxable ₹3,26,074.51, tax ₹58,693.41 vs invoice taxable ₹3,26,074.51, tax ₹58,693.41.</t>
  </si>
  <si>
    <t>HDM/2627/0006</t>
  </si>
  <si>
    <t>E-way bill for HDM/2627/0006 declares tax under a different head (IGST ₹0.00, CGST+SGST ₹0.00, cess ₹8,068.75) from the invoice.</t>
  </si>
  <si>
    <t>06_eway_bills_MH.csv v1 r7; 01_sales_register_MH.xlsx v1 r9</t>
  </si>
  <si>
    <t>E-way bill for HDM/2627/0006: taxable ₹67,239.56, tax ₹8,068.75 vs invoice taxable ₹67,239.56, tax ₹8,068.75.</t>
  </si>
  <si>
    <t>HDM/2627/0008</t>
  </si>
  <si>
    <t>E-way bill for HDM/2627/0008 declares tax under a different head (IGST ₹0.00, CGST+SGST ₹0.00, cess ₹32,550.73) from the invoice.</t>
  </si>
  <si>
    <t>06_eway_bills_MH.csv v1 r9; 01_sales_register_MH.xlsx v1 r11</t>
  </si>
  <si>
    <t>E-way bill for HDM/2627/0008: taxable ₹1,80,837.38, tax ₹32,550.73 vs invoice taxable ₹1,80,837.38, tax ₹32,550.73.</t>
  </si>
  <si>
    <t>EWB_WITHOUT_SALE</t>
  </si>
  <si>
    <t>HDM/2627/8888</t>
  </si>
  <si>
    <t>Active e-way bill for document HDM/2627/8888 dated 21/06/2026 (taxable ₹90,000.00) has no corresponding invoice in the sales register.</t>
  </si>
  <si>
    <t>06_eway_bills_MH.csv v1 r44</t>
  </si>
  <si>
    <t>EWB_CANCELLED_DISCARDED</t>
  </si>
  <si>
    <t>2 e-way bill(s) carrying tax of ₹1,56,304.59 stand cancelled/discarded while the invoices remain in the books with no replacement e-way bill; confirm whether the goods moved and how.</t>
  </si>
  <si>
    <t>06_eway_bills_MH.csv v1 r10; 06_eway_bills_MH.csv v1 r11</t>
  </si>
  <si>
    <t>EWB_NON_SUPPLY_MOVEMENT</t>
  </si>
  <si>
    <t>low</t>
  </si>
  <si>
    <t>HDM/JW/2627/04</t>
  </si>
  <si>
    <t>27AAKFJ3434J1Z6</t>
  </si>
  <si>
    <t>E-way bill for HDM/JW/2627/04 (Job Work) covers movement otherwise than by way of supply — verify delivery challan and return of goods.</t>
  </si>
  <si>
    <t>documentary_deficiency</t>
  </si>
  <si>
    <t>06_eway_bills_MH.csv v1 r45</t>
  </si>
  <si>
    <t>H</t>
  </si>
  <si>
    <t>EXPORT_96A_3M</t>
  </si>
  <si>
    <t>No shipping bill is on record for export invoice HDM/EXP/2627/3 dated 12/05/2026 and three months have elapsed; unless export within three months is evidenced, IGST of about ₹1,53,000.00 (at 18%) is payable with interest under Rule 96A(1).</t>
  </si>
  <si>
    <t>02_gstr1_MH.csv v1 r44; 01_sales_register_MH.xlsx v1 r49</t>
  </si>
  <si>
    <t>No shipping bill is on record for export invoice HDM/EXP/2627/4 dated 13/05/2026 and three months have elapsed; unless export within three months is evidenced, IGST of about ₹1,75,500.00 (at 18%) is payable with interest under Rule 96A(1).</t>
  </si>
  <si>
    <t>02_gstr1_MH.csv v1 r45; 01_sales_register_MH.xlsx v1 r50</t>
  </si>
  <si>
    <t>No shipping bill is on record for export invoice HDM/EXP/2627/5 dated 14/06/2026 and three months have elapsed; unless export within three months is evidenced, IGST of about ₹1,98,000.00 (at 18%) is payable with interest under Rule 96A(1).</t>
  </si>
  <si>
    <t>02_gstr1_MH.csv v1 r46; 01_sales_register_MH.xlsx v1 r51</t>
  </si>
  <si>
    <t>ICEGATE_NOT_TRANSMITTED</t>
  </si>
  <si>
    <t>HDM/EXP/2627/99</t>
  </si>
  <si>
    <t>Shipping bill 7047799 dated 25/06/2026 (invoice HDM/EXP/2627/99) shows ICEGATE status "SB005 — invoice mismatch" — the export is not validated against GSTR-1 and any IGST refund is withheld.</t>
  </si>
  <si>
    <t>08_shipping_bills_MH.csv v1 r4</t>
  </si>
  <si>
    <t>EXPORT_SB_MISSING</t>
  </si>
  <si>
    <t>3 export invoice(s) aggregating ₹29,25,000.00 are reported in GSTR-1 Table 6A without shipping bill number, date and/or port code; the data cannot be transmitted to ICEGATE and zero-rating is unsupported on the return (amend through Table 9A within the Section 37(3) window).</t>
  </si>
  <si>
    <t>02_gstr1_MH.csv v1 r44; 02_gstr1_MH.csv v1 r45; 02_gstr1_MH.csv v1 r46</t>
  </si>
  <si>
    <t>SB_WITHOUT_INVOICE</t>
  </si>
  <si>
    <t>Shipping bill 7047799 dated 25/06/2026 refers to invoice HDM/EXP/2627/99 which is not in the sales register or GSTR-1 export tables.</t>
  </si>
  <si>
    <t>J</t>
  </si>
  <si>
    <t>BOE_ITC_FTWZ</t>
  </si>
  <si>
    <t>8047642</t>
  </si>
  <si>
    <t>IGST credit of ₹8,77,051.00 has been availed against bill of entry 8047642 dated 13/04/2026 (FTWZ (Warehouse)) on which IGST paid is ₹0.00; credit is not available for tax not paid.</t>
  </si>
  <si>
    <t>09_bills_of_entry_MH.csv v1 r2; 04_purchase_register_MH.csv v1 r35</t>
  </si>
  <si>
    <t>BOE_NOT_IN_BOOKS</t>
  </si>
  <si>
    <t>8159669</t>
  </si>
  <si>
    <t>Bill of entry 8159669 dated 22/05/2026 (IGST ₹1,64,340.00) is not recorded in the purchase register.</t>
  </si>
  <si>
    <t>09_bills_of_entry_MH.csv v1 r3</t>
  </si>
  <si>
    <t>DUTY_UNDER_PROTEST</t>
  </si>
  <si>
    <t>Duty on bill of entry 8159669 was paid under protest; track the classification dispute and the refund limitation under Section 27 of the Customs Act.</t>
  </si>
  <si>
    <t>L</t>
  </si>
  <si>
    <t>FA_DISPOSAL</t>
  </si>
  <si>
    <t>FA-0723</t>
  </si>
  <si>
    <t>Fixed asset "HLC-723 G8 analyser" disposed on 12/06/2026 for ₹21,00,000.00 with no matching tax invoice in the sales register. Tax under Section 18(6)/Rule 44(6): higher of ₹2,30,400.00 (ITC less 5% × 12 quarters) and ₹3,78,000.00 = ₹3,78,000.00.</t>
  </si>
  <si>
    <t>13_fixed_asset_register.csv v1 r2</t>
  </si>
  <si>
    <t>M</t>
  </si>
  <si>
    <t>CASH_LEDGER_IDLE</t>
  </si>
  <si>
    <t>Electronic cash ledger balance of ₹24,75,430.00 is lying unutilised; it can be applied against liabilities, transferred to another registration of the same PAN through Form GST PMT-09, or claimed as a refund.</t>
  </si>
  <si>
    <t>12_electronic_cash_ledger_WB.csv v1 r2; 12_electronic_cash_ledger_WB.csv v1 r3; 12_electronic_cash_ledger_WB.csv v1 r4</t>
  </si>
  <si>
    <t>N</t>
  </si>
  <si>
    <t>TURNOVER_TB_VS_3B</t>
  </si>
  <si>
    <t>Turnover per books ₹1,61,28,119.34 vs outward supplies declared in GSTR-3B Tables 3.1(a), (b), (c) and (e) ₹1,53,21,376.49; difference ₹8,06,742.85 to be explained in GSTR-9C.</t>
  </si>
  <si>
    <t>11_trial_balance.csv v1 r2; 11_trial_balance.csv v1 r3</t>
  </si>
  <si>
    <t>TURNOVER_TB_VS_REGISTER</t>
  </si>
  <si>
    <t>Turnover per trial balance sales ledgers ₹1,61,28,119.34 differs from the sales register ₹1,61,52,984.96 by ₹-24,865.62 (verify non-GST income, stock transfers and unbilled revenue).</t>
  </si>
  <si>
    <t>ITC — purchase register vs GSTR-2B vs GSTR-3B</t>
  </si>
  <si>
    <t>Reverse charge — tax and interest</t>
  </si>
  <si>
    <t>Helix Diagnostics Manufacturing Private Limited | HGA-DEMO-1 | 2026-04-01 to 2026-06-30 | Generated 2026-10-24 | Interest per observation is in A10; reverse charge discharged is generally available as credit in the same period subject to Section 16.</t>
  </si>
  <si>
    <t>E-way bill vs sales</t>
  </si>
  <si>
    <t>Export evidence completeness</t>
  </si>
  <si>
    <t>Invoice</t>
  </si>
  <si>
    <t>Taxable (₹)</t>
  </si>
  <si>
    <t>In books</t>
  </si>
  <si>
    <t>In GSTR-1 6A</t>
  </si>
  <si>
    <t>SB in return</t>
  </si>
  <si>
    <t>Shipping bill</t>
  </si>
  <si>
    <t>SB date</t>
  </si>
  <si>
    <t>Port</t>
  </si>
  <si>
    <t>LEO date</t>
  </si>
  <si>
    <t>EGM</t>
  </si>
  <si>
    <t>BRC</t>
  </si>
  <si>
    <t>ICEGATE status</t>
  </si>
  <si>
    <t>Rule 96A(1)</t>
  </si>
  <si>
    <t>Yes</t>
  </si>
  <si>
    <t>704512</t>
  </si>
  <si>
    <t>INNSA1</t>
  </si>
  <si>
    <t>EGM881</t>
  </si>
  <si>
    <t>BRC/1</t>
  </si>
  <si>
    <t>SB000</t>
  </si>
  <si>
    <t>Met</t>
  </si>
  <si>
    <t>704513</t>
  </si>
  <si>
    <t>EGM882</t>
  </si>
  <si>
    <t>BRC/2</t>
  </si>
  <si>
    <t>No</t>
  </si>
  <si>
    <t>Not evidenced</t>
  </si>
  <si>
    <t>Input Service Distributor reconciliation</t>
  </si>
  <si>
    <t>Helix Diagnostics Manufacturing Private Limited | HGA-DEMO-1 | 2026-04-01 to 2026-06-30 | Generated 2026-10-24 | Import GSTR-6 / ISD workings to extend this annexure.</t>
  </si>
  <si>
    <t>No records for this annexure.</t>
  </si>
  <si>
    <t>Supplier GSTIN</t>
  </si>
  <si>
    <t>Supplier</t>
  </si>
  <si>
    <t>Exceptions</t>
  </si>
  <si>
    <t>Claimed, not in GSTR-2B</t>
  </si>
  <si>
    <t>Invalid GSTIN</t>
  </si>
  <si>
    <t>Credit notes not booked</t>
  </si>
  <si>
    <t>ITC at risk (₹)</t>
  </si>
  <si>
    <t>(no GSTIN)</t>
  </si>
  <si>
    <t>Tax and interest workings (calculation snapshots)</t>
  </si>
  <si>
    <t>Helix Diagnostics Manufacturing Private Limited | HGA-DEMO-1 | 2026-04-01 to 2026-06-30 | Generated 2026-10-24 | Interest at 18% p.a. under Section 50 on a 365-day basis, rounded to the rupee; indicative to the computation date.</t>
  </si>
  <si>
    <t>Obs.</t>
  </si>
  <si>
    <t>Snapshot</t>
  </si>
  <si>
    <t>Type</t>
  </si>
  <si>
    <t>Interest from</t>
  </si>
  <si>
    <t>Days</t>
  </si>
  <si>
    <t>Basis</t>
  </si>
  <si>
    <t>Input hash</t>
  </si>
  <si>
    <t>9bfa6956</t>
  </si>
  <si>
    <t>observation_impact</t>
  </si>
  <si>
    <t>Section 50(3) CGST Act, 18% p.a. for 157 days</t>
  </si>
  <si>
    <t>1a0acc7ef43c684f</t>
  </si>
  <si>
    <t>56d7fe44</t>
  </si>
  <si>
    <t>Section 50(1) CGST Act, 18% p.a. for 126 days</t>
  </si>
  <si>
    <t>541e88e0267eab1b</t>
  </si>
  <si>
    <t>Section 50(1) CGST Act, 18% p.a. for 96 days</t>
  </si>
  <si>
    <t>bab19f33</t>
  </si>
  <si>
    <t>a8db6cc4f5ef6386</t>
  </si>
  <si>
    <t>40b5ba2f</t>
  </si>
  <si>
    <t>e1229f2d90dd410e</t>
  </si>
  <si>
    <t>bb47e429</t>
  </si>
  <si>
    <t>85cdbe6b95873e05</t>
  </si>
  <si>
    <t>2a3e14d2</t>
  </si>
  <si>
    <t>35d3a9bdc7f9bd17</t>
  </si>
  <si>
    <t>Helix Diagnostics Manufacturing Private Limited | HGA-DEMO-1 | 2026-04-01 to 2026-06-30 | Generated 2026-10-24 | Applicable audit controls tested: 28.6%. 100 controls remain unverified. Exceptions were identified in 11 of 40 tested control(s).</t>
  </si>
  <si>
    <t>Control</t>
  </si>
  <si>
    <t>Applicability</t>
  </si>
  <si>
    <t>Work performed</t>
  </si>
  <si>
    <t>Conclusion</t>
  </si>
  <si>
    <t>Tested by</t>
  </si>
  <si>
    <t>Tested on</t>
  </si>
  <si>
    <t>Reviewed by</t>
  </si>
  <si>
    <t>Reviewed on</t>
  </si>
  <si>
    <t>A-GEN-006</t>
  </si>
  <si>
    <t>A</t>
  </si>
  <si>
    <t>Return filing status, late fees and Rule 59(6) restrictions</t>
  </si>
  <si>
    <t>not_started</t>
  </si>
  <si>
    <t>A-REG-001</t>
  </si>
  <si>
    <t>All places of business (APOB, warehouses, depots) are registered on the GST certificate</t>
  </si>
  <si>
    <t>A-REG-002</t>
  </si>
  <si>
    <t>Distinct-person compliance for multi-State GSTINs</t>
  </si>
  <si>
    <t>A-REG-003</t>
  </si>
  <si>
    <t>Validity and status of counterparty GSTINs in vendor and customer masters</t>
  </si>
  <si>
    <t>passed</t>
  </si>
  <si>
    <t>Automated Specialist checks (RCM, blocked ITC, credit notes, rates, fixed assets) (run 5e012877, engine 2026.10.1): 0 exception(s) raised.</t>
  </si>
  <si>
    <t>auditor</t>
  </si>
  <si>
    <t>A-REG-004</t>
  </si>
  <si>
    <t>Timely amendment of registration particulars</t>
  </si>
  <si>
    <t>A-REG-005</t>
  </si>
  <si>
    <t>Monitoring of vendor suspension and cancellation during the period</t>
  </si>
  <si>
    <t>B-OUT-001</t>
  </si>
  <si>
    <t>Sales register vs GSTR-1 reconciliation</t>
  </si>
  <si>
    <t>exception_detected</t>
  </si>
  <si>
    <t>Automated Books vs GSTR-1 (run 73f655f0, engine 2026.10.1): 6 exception(s) raised.</t>
  </si>
  <si>
    <t>B-OUT-002</t>
  </si>
  <si>
    <t>GSTR-1 vs GSTR-3B liability reconciliation</t>
  </si>
  <si>
    <t>Automated GSTR-1 vs GSTR-3B (run 22b90b0b, engine 2026.10.1): 3 exception(s) raised.</t>
  </si>
  <si>
    <t>B-OUT-003</t>
  </si>
  <si>
    <t>Duplicate or non-sequential invoice numbers in sales register</t>
  </si>
  <si>
    <t>B-OUT-004</t>
  </si>
  <si>
    <t>GST rate applied vs HSN/SAC classification</t>
  </si>
  <si>
    <t>B-OUT-005</t>
  </si>
  <si>
    <t>Correct tax head (IGST vs CGST+SGST) based on place of supply</t>
  </si>
  <si>
    <t>B-OUT-006</t>
  </si>
  <si>
    <t>Credit notes issued after Section 34(2) cut-off</t>
  </si>
  <si>
    <t>B-OUT-007</t>
  </si>
  <si>
    <t>Credit notes dated before the original invoice or without invoice linkage</t>
  </si>
  <si>
    <t>Automated Specialist checks (RCM, blocked ITC, credit notes, rates, fixed assets) (run 5e012877, engine 2026.10.1): 1 exception(s) raised.</t>
  </si>
  <si>
    <t>B-OUT-008</t>
  </si>
  <si>
    <t>Post-supply discounts and credit notes without Section 34 trigger or pre-agreement</t>
  </si>
  <si>
    <t>B-OUT-009</t>
  </si>
  <si>
    <t>Free-of-cost (FOC) supplies, samples and sales promotion</t>
  </si>
  <si>
    <t>B-OUT-010</t>
  </si>
  <si>
    <t>Advances, unbilled revenue and invoicing within prescribed time</t>
  </si>
  <si>
    <t>B-OUT-011</t>
  </si>
  <si>
    <t>Taxability of other income and miscellaneous recoveries</t>
  </si>
  <si>
    <t>B-OUT-012</t>
  </si>
  <si>
    <t>Reporting of exempt, nil-rated and non-GST supplies and linkage to ITC reversal</t>
  </si>
  <si>
    <t>B-OUT-013</t>
  </si>
  <si>
    <t>Reimbursements and pure-agent recoveries from customers</t>
  </si>
  <si>
    <t>C-ITC-001</t>
  </si>
  <si>
    <t>Purchase register vs GSTR-2B vs GSTR-3B three-way ITC reconciliation</t>
  </si>
  <si>
    <t>Automated Purchase register vs GSTR-2B vs GSTR-3B (run 4d4441a0, engine 2026.10.1): 8 exception(s) raised.</t>
  </si>
  <si>
    <t>C-ITC-002</t>
  </si>
  <si>
    <t>Duplicate ITC claims on the same invoice</t>
  </si>
  <si>
    <t>C-ITC-003</t>
  </si>
  <si>
    <t>ITC claimed after Section 16(4) time limit</t>
  </si>
  <si>
    <t>C-ITC-004</t>
  </si>
  <si>
    <t>ITC on blocked credits under Section 17(5)</t>
  </si>
  <si>
    <t>Automated Specialist checks (RCM, blocked ITC, credit notes, rates, fixed assets) (run 5e012877, engine 2026.10.1): 2 exception(s) raised.</t>
  </si>
  <si>
    <t>C-ITC-005</t>
  </si>
  <si>
    <t>Key-man, life, health and group insurance ITC</t>
  </si>
  <si>
    <t>C-ITC-006</t>
  </si>
  <si>
    <t>Rule 37 reversal for non-payment to suppliers within 180 days</t>
  </si>
  <si>
    <t>C-ITC-007</t>
  </si>
  <si>
    <t>Rule 37A reversal where supplier has not filed GSTR-3B</t>
  </si>
  <si>
    <t>C-ITC-008</t>
  </si>
  <si>
    <t>Common credit reversal under Rules 42 and 43 (exempt and non-business use)</t>
  </si>
  <si>
    <t>C-ITC-009</t>
  </si>
  <si>
    <t>ITC from cancelled, suspended or invalid GSTINs</t>
  </si>
  <si>
    <t>C-ITC-010</t>
  </si>
  <si>
    <t>Invoice Management System actions (accept, reject, pending)</t>
  </si>
  <si>
    <t>C-ITC-011</t>
  </si>
  <si>
    <t>ITC reduction on credit notes received from suppliers</t>
  </si>
  <si>
    <t>C-ITC-012</t>
  </si>
  <si>
    <t>Receipt of goods/services condition and bill-to-ship-to</t>
  </si>
  <si>
    <t>C-ITC-013</t>
  </si>
  <si>
    <t>Shipping-line, CHA and freight-forwarder invoices for FTWZ/warehoused consignments</t>
  </si>
  <si>
    <t>C-ITC-014</t>
  </si>
  <si>
    <t>GSTR-3B Table 4 reporting and Electronic Credit Reversal and Re-claimed Statement (ECRRS)</t>
  </si>
  <si>
    <t>C-ITC-015</t>
  </si>
  <si>
    <t>ITC mismatch for FY 2017-18 and 2018-19 (GSTR-2A vs GSTR-3B)</t>
  </si>
  <si>
    <t>D-RCM-001</t>
  </si>
  <si>
    <t>RCM on notified services (GTA, legal, directors, security, sponsorship, motor vehicle renting)</t>
  </si>
  <si>
    <t>D-RCM-002</t>
  </si>
  <si>
    <t>IGST under reverse charge on import of services</t>
  </si>
  <si>
    <t>confirmed_observation</t>
  </si>
  <si>
    <t>Automated Specialist checks (RCM, blocked ITC, credit notes, rates, fixed assets) (run 5e012877, engine 2026.10.1): 3 exception(s) raised.</t>
  </si>
  <si>
    <t>D-RCM-003</t>
  </si>
  <si>
    <t>Foreign software, SaaS and online subscriptions paid by corporate cards</t>
  </si>
  <si>
    <t>D-RCM-004</t>
  </si>
  <si>
    <t>Recharges and reimbursements to overseas group entities</t>
  </si>
  <si>
    <t>D-RCM-005</t>
  </si>
  <si>
    <t>Directors' and officers' insurance or employee benefits paid abroad by parent and recharged</t>
  </si>
  <si>
    <t>D-RCM-006</t>
  </si>
  <si>
    <t>Warranty claims, replacements and reimbursements — GST character</t>
  </si>
  <si>
    <t>D-RCM-007</t>
  </si>
  <si>
    <t>RCM on notified goods and Section 9(4) supplies</t>
  </si>
  <si>
    <t>D-RCM-008</t>
  </si>
  <si>
    <t>Self-invoices, payment vouchers and time of supply for RCM</t>
  </si>
  <si>
    <t>D-RCM-009</t>
  </si>
  <si>
    <t>RCM paid in cash and corresponding ITC claimed</t>
  </si>
  <si>
    <t>D-RCM-010</t>
  </si>
  <si>
    <t>RCM on renting of commercial property from unregistered landlords</t>
  </si>
  <si>
    <t>D-RCM-011</t>
  </si>
  <si>
    <t>Ocean freight and transportation services on imports</t>
  </si>
  <si>
    <t>E-ISD-001</t>
  </si>
  <si>
    <t>E</t>
  </si>
  <si>
    <t>Mandatory ISD registration for common input services</t>
  </si>
  <si>
    <t>E-ISD-002</t>
  </si>
  <si>
    <t>ISD distribution as per Rule 39</t>
  </si>
  <si>
    <t>E-ISD-003</t>
  </si>
  <si>
    <t>ISD distribution reflected in GSTR-2B but not booked by recipient units</t>
  </si>
  <si>
    <t>E-ISD-004</t>
  </si>
  <si>
    <t>Common-service vendors billing normal GSTIN instead of ISD or consuming unit</t>
  </si>
  <si>
    <t>E-ISD-005</t>
  </si>
  <si>
    <t>Cross-charge of head office services to branches</t>
  </si>
  <si>
    <t>E-ISD-006</t>
  </si>
  <si>
    <t>Employee secondment and shared employees between GSTINs</t>
  </si>
  <si>
    <t>F-EINV-001</t>
  </si>
  <si>
    <t>E-invoice register vs GSTR-1 vs books</t>
  </si>
  <si>
    <t>Automated E-invoice vs GSTR-1 vs books (run 1fde0f9c, engine 2026.10.1): 4 exception(s) raised.</t>
  </si>
  <si>
    <t>F-EINV-002</t>
  </si>
  <si>
    <t>B2B invoices, credit/debit notes and exports without IRN</t>
  </si>
  <si>
    <t>F-EINV-003</t>
  </si>
  <si>
    <t>E-invoices generated but missing or amended in GSTR-1</t>
  </si>
  <si>
    <t>F-EINV-004</t>
  </si>
  <si>
    <t>30-day reporting limit for IRN generation</t>
  </si>
  <si>
    <t>F-EINV-005</t>
  </si>
  <si>
    <t>E-invoice applicability assessment across PAN</t>
  </si>
  <si>
    <t>F-EINV-006</t>
  </si>
  <si>
    <t>Supply type, POS and HSN in e-invoices for exports, SEZ and RCM</t>
  </si>
  <si>
    <t>G-EWB-001</t>
  </si>
  <si>
    <t>Outward e-way bills vs sales register</t>
  </si>
  <si>
    <t>Automated E-way bills vs sales (run 3355a424, engine 2026.10.1): 8 exception(s) raised.</t>
  </si>
  <si>
    <t>G-EWB-002</t>
  </si>
  <si>
    <t>Consignments above Rs 50,000 moved without e-way bill</t>
  </si>
  <si>
    <t>G-EWB-003</t>
  </si>
  <si>
    <t>Tax amounts entered in cess field of e-way bills</t>
  </si>
  <si>
    <t>G-EWB-004</t>
  </si>
  <si>
    <t>Cancelled, rejected or discarded e-way bills where goods actually moved or invoice booked</t>
  </si>
  <si>
    <t>G-EWB-005</t>
  </si>
  <si>
    <t>Bill-from / dispatch-from address mismatch with registered places of business</t>
  </si>
  <si>
    <t>G-EWB-006</t>
  </si>
  <si>
    <t>Inward e-way bills generated on company GSTIN vs purchase register</t>
  </si>
  <si>
    <t>G-EWB-007</t>
  </si>
  <si>
    <t>E-way bills for job work, stock transfer, FOC and returns on delivery challan</t>
  </si>
  <si>
    <t>G-EWB-008</t>
  </si>
  <si>
    <t>Part-B updation and validity expiry</t>
  </si>
  <si>
    <t>G-EWB-009</t>
  </si>
  <si>
    <t>E-way bills for exports, SEZ supplies and imports from port</t>
  </si>
  <si>
    <t>G-EWB-010</t>
  </si>
  <si>
    <t>E-way bill HSN, value and quantity consistency with invoice</t>
  </si>
  <si>
    <t>H-EXP-001</t>
  </si>
  <si>
    <t>Export invoices vs shipping bills vs GSTR-1 Table 6A</t>
  </si>
  <si>
    <t>Automated Imports and exports (run e17c897a, engine 2026.10.1): 4 exception(s) raised.</t>
  </si>
  <si>
    <t>H-EXP-002</t>
  </si>
  <si>
    <t>Export invoices reported without shipping bill or port code</t>
  </si>
  <si>
    <t>H-EXP-003</t>
  </si>
  <si>
    <t>ICEGATE transmission failures and IGST refund errors</t>
  </si>
  <si>
    <t>H-EXP-004</t>
  </si>
  <si>
    <t>LUT validity, ARN and reference on invoices</t>
  </si>
  <si>
    <t>H-EXP-005</t>
  </si>
  <si>
    <t>Rule 96A three-month export condition for goods under LUT</t>
  </si>
  <si>
    <t>H-EXP-006</t>
  </si>
  <si>
    <t>Export of services conditions and intermediary risk</t>
  </si>
  <si>
    <t>H-EXP-007</t>
  </si>
  <si>
    <t>Exports with payment of IGST — eligibility and restrictions</t>
  </si>
  <si>
    <t>H-EXP-008</t>
  </si>
  <si>
    <t>Refund of unutilised ITC on zero-rated supplies under LUT</t>
  </si>
  <si>
    <t>H-EXP-009</t>
  </si>
  <si>
    <t>Non-realisation of export proceeds</t>
  </si>
  <si>
    <t>H-EXP-010</t>
  </si>
  <si>
    <t>Supplies to merchant exporters at concessional rate</t>
  </si>
  <si>
    <t>H-EXP-011</t>
  </si>
  <si>
    <t>Amendments to shipping bills and Table 9A</t>
  </si>
  <si>
    <t>I-SEZ-001</t>
  </si>
  <si>
    <t>I</t>
  </si>
  <si>
    <t>Supplies to SEZ units/developers — zero-rating and endorsement</t>
  </si>
  <si>
    <t>I-SEZ-002</t>
  </si>
  <si>
    <t>SEZ refund claims and endorsement completeness</t>
  </si>
  <si>
    <t>I-SEZ-003</t>
  </si>
  <si>
    <t>Sale of goods while in FTWZ or customs warehouse (Schedule III para 8(a))</t>
  </si>
  <si>
    <t>I-SEZ-004</t>
  </si>
  <si>
    <t>IGST credit on BOE for DTA clearance from FTWZ</t>
  </si>
  <si>
    <t>I-SEZ-005</t>
  </si>
  <si>
    <t>Deemed export supplies and refunds</t>
  </si>
  <si>
    <t>I-SEZ-006</t>
  </si>
  <si>
    <t>Services to SEZ units including local services</t>
  </si>
  <si>
    <t>J-IMP-001</t>
  </si>
  <si>
    <t>IGST on BOE not reflected in GSTR-2B (IMPG/IMPGSEZ)</t>
  </si>
  <si>
    <t>J-IMP-002</t>
  </si>
  <si>
    <t>Import purchase register vs bills of entry</t>
  </si>
  <si>
    <t>J-IMP-003</t>
  </si>
  <si>
    <t>ITC claimed on nil-duty, FTWZ or warehousing bills of entry</t>
  </si>
  <si>
    <t>J-IMP-004</t>
  </si>
  <si>
    <t>Customs duty paid under protest — tracking and refund limitation</t>
  </si>
  <si>
    <t>J-IMP-005</t>
  </si>
  <si>
    <t>Provisional assessment and finalisation of bills of entry</t>
  </si>
  <si>
    <t>J-IMP-006</t>
  </si>
  <si>
    <t>Valuation of related-party imports</t>
  </si>
  <si>
    <t>J-IMP-007</t>
  </si>
  <si>
    <t>Segregation of BCD, SWS and IGST in accounting</t>
  </si>
  <si>
    <t>J-IMP-008</t>
  </si>
  <si>
    <t>Manufacturing and other operations in warehouse (Section 65)</t>
  </si>
  <si>
    <t>K-JW-001</t>
  </si>
  <si>
    <t>K</t>
  </si>
  <si>
    <t>ITC-04 filing and reconciliation with stock records</t>
  </si>
  <si>
    <t>K-JW-002</t>
  </si>
  <si>
    <t>Inputs and capital goods not returned within one/three years</t>
  </si>
  <si>
    <t>K-JW-003</t>
  </si>
  <si>
    <t>Delivery challans for movement to and from job workers</t>
  </si>
  <si>
    <t>K-JW-004</t>
  </si>
  <si>
    <t>Job work charges, rates and waste/scrap</t>
  </si>
  <si>
    <t>K-MFG-005</t>
  </si>
  <si>
    <t>ITC on goods lost, stolen, destroyed or written off</t>
  </si>
  <si>
    <t>K-MFG-006</t>
  </si>
  <si>
    <t>Inverted duty structure refund eligibility and computation</t>
  </si>
  <si>
    <t>L-FA-001</t>
  </si>
  <si>
    <t>Sale or transfer of fixed assets on which ITC was taken</t>
  </si>
  <si>
    <t>L-FA-002</t>
  </si>
  <si>
    <t>Scrapping and write-off of capital goods</t>
  </si>
  <si>
    <t>L-FA-003</t>
  </si>
  <si>
    <t>Blocked ITC on capital goods (immovable property, motor vehicles)</t>
  </si>
  <si>
    <t>L-FA-004</t>
  </si>
  <si>
    <t>Depreciation claimed on GST component of capital goods</t>
  </si>
  <si>
    <t>L-FA-005</t>
  </si>
  <si>
    <t>Common capital goods used for exempt supplies (Rule 43)</t>
  </si>
  <si>
    <t>L-FA-006</t>
  </si>
  <si>
    <t>Capital goods sent to job workers or transferred between GSTINs</t>
  </si>
  <si>
    <t>M-LED-001</t>
  </si>
  <si>
    <t>Idle balance in electronic cash ledger</t>
  </si>
  <si>
    <t>M-LED-002</t>
  </si>
  <si>
    <t>Negative or abnormal ITC balances in books vs electronic credit ledger</t>
  </si>
  <si>
    <t>M-LED-003</t>
  </si>
  <si>
    <t>Order of ITC utilisation (Section 49A / Rule 88A)</t>
  </si>
  <si>
    <t>M-LED-004</t>
  </si>
  <si>
    <t>Rule 86B 1% cash payment restriction</t>
  </si>
  <si>
    <t>M-LED-005</t>
  </si>
  <si>
    <t>Blocking of electronic credit ledger under Rule 86A</t>
  </si>
  <si>
    <t>M-LED-006</t>
  </si>
  <si>
    <t>GST payable ledgers vs electronic liability register</t>
  </si>
  <si>
    <t>N-AR-001</t>
  </si>
  <si>
    <t>GSTR-9 consistency with books, GSTR-1 and GSTR-3B</t>
  </si>
  <si>
    <t>N-AR-002</t>
  </si>
  <si>
    <t>GSTR-9 Table 8 — ITC per GSTR-2B vs ITC availed</t>
  </si>
  <si>
    <t>N-AR-003</t>
  </si>
  <si>
    <t>GSTR-9C turnover and tax reconciliation</t>
  </si>
  <si>
    <t>N-AR-004</t>
  </si>
  <si>
    <t>Additional liability identified in annual return paid via DRC-03</t>
  </si>
  <si>
    <t>N-AR-005</t>
  </si>
  <si>
    <t>Prior-year transactions reported in subsequent year returns</t>
  </si>
  <si>
    <t>N-AR-006</t>
  </si>
  <si>
    <t>HSN summary in GSTR-1 Table 12 and GSTR-9 Table 17/18</t>
  </si>
  <si>
    <t>O-INT-001</t>
  </si>
  <si>
    <t>O</t>
  </si>
  <si>
    <t>Interest u/s 50(1) on delayed payment of tax</t>
  </si>
  <si>
    <t>O-INT-002</t>
  </si>
  <si>
    <t>Interest u/s 50(3) on wrongly availed and utilised ITC (Rule 88B)</t>
  </si>
  <si>
    <t>O-INT-003</t>
  </si>
  <si>
    <t>Late fee on returns</t>
  </si>
  <si>
    <t>O-LIM-004</t>
  </si>
  <si>
    <t>Limitation tracker for demand exposure by financial year</t>
  </si>
  <si>
    <t>O-PEN-005</t>
  </si>
  <si>
    <t>Section 128A waiver eligibility for FY 2017-18 to 2019-20</t>
  </si>
  <si>
    <t>O-PEN-006</t>
  </si>
  <si>
    <t>Voluntary payment before notice to avoid penalty</t>
  </si>
  <si>
    <t>P-LIT-001</t>
  </si>
  <si>
    <t>P</t>
  </si>
  <si>
    <t>Completeness of notice and order register</t>
  </si>
  <si>
    <t>P-LIT-002</t>
  </si>
  <si>
    <t>ASMT-10 scrutiny notices — reconciliation-based responses</t>
  </si>
  <si>
    <t>P-LIT-003</t>
  </si>
  <si>
    <t>Departmental audit (Section 65) readiness, para tracking and closure</t>
  </si>
  <si>
    <t>P-LIT-004</t>
  </si>
  <si>
    <t>SCN replies including section, limitation and procedural defences</t>
  </si>
  <si>
    <t>P-LIT-005</t>
  </si>
  <si>
    <t>Appeal timelines and mandatory pre-deposit</t>
  </si>
  <si>
    <t>P-LIT-006</t>
  </si>
  <si>
    <t>DRC-01B (GSTR-1 vs 3B) and DRC-01C (2B vs 3B) intimations</t>
  </si>
  <si>
    <t>Q-SPL-001</t>
  </si>
  <si>
    <t>Q</t>
  </si>
  <si>
    <t>GST TDS credits (GSTR-7) — acceptance and receivable reconciliation</t>
  </si>
  <si>
    <t>Q-SPL-002</t>
  </si>
  <si>
    <t>E-commerce TCS (GSTR-8) reconciliation with marketplace sales</t>
  </si>
  <si>
    <t>Q-SPL-003</t>
  </si>
  <si>
    <t>Section 9(5) supplies — ECO liability and supplier reporting</t>
  </si>
  <si>
    <t>Q-SPL-004</t>
  </si>
  <si>
    <t>Works contract — classification, rate and ITC on own construction</t>
  </si>
  <si>
    <t>Q-SPL-005</t>
  </si>
  <si>
    <t>Section 15 inclusions — freight, packing, subsidies and late-payment interest</t>
  </si>
  <si>
    <t>Q-SPL-006</t>
  </si>
  <si>
    <t>Valuation of domestic supplies to related parties</t>
  </si>
  <si>
    <t>Q-SPL-007</t>
  </si>
  <si>
    <t>Transfer of business, slump sale and transfer of ITC (ITC-02)</t>
  </si>
  <si>
    <t>Q-SPL-008</t>
  </si>
  <si>
    <t>Refund limitation tracker across categories</t>
  </si>
  <si>
    <t>Q-SPL-009</t>
  </si>
  <si>
    <t>Vendor threshold monitoring and composition vendors charging tax</t>
  </si>
  <si>
    <t>Q-SPL-010</t>
  </si>
  <si>
    <t>New places of business, project sites and third-party fulfilment warehouses</t>
  </si>
  <si>
    <t>Q-SPL-011</t>
  </si>
  <si>
    <t>Record retention and electronic records</t>
  </si>
  <si>
    <t>Q-SPL-012</t>
  </si>
  <si>
    <t>Expatriate secondment and overseas manpower arrangements</t>
  </si>
  <si>
    <t>Pending documents and information</t>
  </si>
  <si>
    <t>Item</t>
  </si>
  <si>
    <t>Priority</t>
  </si>
  <si>
    <t>Due</t>
  </si>
  <si>
    <t>Reminders</t>
  </si>
  <si>
    <t>Comment</t>
  </si>
  <si>
    <t>Shipping bills with LEO, EGM and ICEGATE status</t>
  </si>
  <si>
    <t>Exports</t>
  </si>
  <si>
    <t>requested</t>
  </si>
  <si>
    <t>Purchase register with ITC claimed and GSTR-3B claim period</t>
  </si>
  <si>
    <t>Accounting</t>
  </si>
  <si>
    <t>Trial balance (opening, transactions, closing)</t>
  </si>
  <si>
    <t>Bills of entry and customs duty payment records</t>
  </si>
  <si>
    <t>Imports</t>
  </si>
  <si>
    <t>GSTR-1 (invoice-level download / JSON) for each registration</t>
  </si>
  <si>
    <t>GST returns</t>
  </si>
  <si>
    <t>GSTR-3B (table-wise) for each registration</t>
  </si>
  <si>
    <t>GSTR-2B for each month of the audit period</t>
  </si>
  <si>
    <t>Sales register with invoice-wise tax, HSN and place of supply</t>
  </si>
  <si>
    <t>E-invoice (IRN) register including cancelled IRNs</t>
  </si>
  <si>
    <t>E-invoice</t>
  </si>
  <si>
    <t>normal</t>
  </si>
  <si>
    <t>E-way bill register (generated, cancelled and discarded)</t>
  </si>
  <si>
    <t>E-way bill</t>
  </si>
  <si>
    <t>LUT acknowledgement (ARN) for each financial year</t>
  </si>
  <si>
    <t>Bank realisation certificates / FIRC for exports of services</t>
  </si>
  <si>
    <t>Foreign remittances (Form 15CA/CB) and overseas vendor invoices</t>
  </si>
  <si>
    <t>RCM</t>
  </si>
  <si>
    <t>GSTR-9 / GSTR-9C for the latest completed financial year</t>
  </si>
  <si>
    <t>Annual return</t>
  </si>
  <si>
    <t>GST notices, orders and replies received in the period</t>
  </si>
  <si>
    <t>Litigation</t>
  </si>
  <si>
    <t>DRC-03 payments and GST challans</t>
  </si>
  <si>
    <t>Payments</t>
  </si>
  <si>
    <t>General ledger / day book for expense heads</t>
  </si>
  <si>
    <t>Fixed asset register with additions, disposals and ITC availed</t>
  </si>
  <si>
    <t>Credit and debit note register with original invoice linkage</t>
  </si>
  <si>
    <t>Customer and vendor masters with GSTIN</t>
  </si>
  <si>
    <t>Electronic cash ledger, credit ledger and liability register</t>
  </si>
  <si>
    <t>GST portal</t>
  </si>
  <si>
    <t>Electronic Credit Reversal and Re-claimed Statement</t>
  </si>
  <si>
    <t>RCM liability / ITC statement and self-invoices</t>
  </si>
  <si>
    <t>Action</t>
  </si>
  <si>
    <t>Step</t>
  </si>
  <si>
    <t>Owner</t>
  </si>
  <si>
    <t>Statutory deadline</t>
  </si>
  <si>
    <t>Amount note</t>
  </si>
  <si>
    <t>Completion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</si>
</sst>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gt;=10000000]##\,##\,##\,##0.00;[&gt;=100000]##\,##\,##0.00;##,##0.00"/>
    <numFmt numFmtId="165" formatCode="dd/mm/yyyy"/>
  </numFmts>
  <fonts count="8" x14ac:knownFonts="1">
    <font>
      <color theme="1"/>
      <family val="2"/>
      <scheme val="minor"/>
      <sz val="11"/>
      <name val="Calibri"/>
    </font>
    <font>
      <b/>
      <color rgb="FF5A8A2A"/>
      <sz val="15"/>
    </font>
    <font>
      <i/>
      <color rgb="FFC0392B"/>
    </font>
    <font>
      <b/>
      <color rgb="FF5A8A2A"/>
    </font>
    <font>
      <b/>
      <color rgb="FF5A8A2A"/>
      <sz val="13"/>
    </font>
    <font>
      <b/>
      <color rgb="FFFFFFFF"/>
    </font>
    <font>
      <b/>
    </font>
    <font>
      <i/>
      <color rgb="FF6B6B6B"/>
      <sz val="9"/>
    </font>
  </fonts>
  <fills count="3">
    <fill>
      <patternFill patternType="none"/>
    </fill>
    <fill>
      <patternFill patternType="gray125"/>
    </fill>
    <fill>
      <patternFill patternType="solid">
        <fgColor rgb="FF5A8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2" borderId="0" xfId="0" applyFont="1" applyFill="1"/>
    <xf numFmtId="164" fontId="5" fillId="2" borderId="0" xfId="0" applyNumberFormat="1" applyFont="1" applyFill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5" fillId="2" borderId="0" xfId="0" applyFont="1" applyFill="1" applyAlignment="1">
      <alignment vertical="center" wrapText="1"/>
    </xf>
    <xf numFmtId="164" fontId="5" fillId="2" borderId="0" xfId="0" applyNumberFormat="1" applyFont="1" applyFill="1" applyAlignment="1">
      <alignment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8" customWidth="1"/>
    <col min="2" max="2" width="48" customWidth="1"/>
    <col min="3" max="3" width="70" customWidth="1"/>
  </cols>
  <sheetData>
    <row r="1" spans="2:2" x14ac:dyDescent="0.25">
      <c r="B1" s="1" t="s">
        <v>0</v>
      </c>
    </row>
    <row r="2" spans="2:2" x14ac:dyDescent="0.25">
      <c r="B2" t="s">
        <v>1</v>
      </c>
    </row>
    <row r="3" spans="2:2" x14ac:dyDescent="0.25">
      <c r="B3" s="2" t="s">
        <v>2</v>
      </c>
    </row>
    <row r="5" spans="1:3" x14ac:dyDescent="0.25">
      <c r="A5" s="3" t="s">
        <v>3</v>
      </c>
      <c r="B5" t="s">
        <v>4</v>
      </c>
      <c r="C5" t="s">
        <v>5</v>
      </c>
    </row>
    <row r="6" spans="1:3" x14ac:dyDescent="0.25">
      <c r="A6" s="3" t="s">
        <v>6</v>
      </c>
      <c r="B6" t="s">
        <v>7</v>
      </c>
      <c r="C6" t="s">
        <v>8</v>
      </c>
    </row>
    <row r="7" spans="1:3" x14ac:dyDescent="0.25">
      <c r="A7" s="3" t="s">
        <v>9</v>
      </c>
      <c r="B7" t="s">
        <v>10</v>
      </c>
      <c r="C7" t="s">
        <v>11</v>
      </c>
    </row>
    <row r="8" spans="1:3" x14ac:dyDescent="0.25">
      <c r="A8" s="3" t="s">
        <v>12</v>
      </c>
      <c r="B8" t="s">
        <v>13</v>
      </c>
      <c r="C8" t="s">
        <v>14</v>
      </c>
    </row>
    <row r="9" spans="1:3" x14ac:dyDescent="0.25">
      <c r="A9" s="3" t="s">
        <v>15</v>
      </c>
      <c r="B9" t="s">
        <v>16</v>
      </c>
      <c r="C9" t="s">
        <v>17</v>
      </c>
    </row>
    <row r="10" spans="1:3" x14ac:dyDescent="0.25">
      <c r="A10" s="3" t="s">
        <v>18</v>
      </c>
      <c r="B10" t="s">
        <v>19</v>
      </c>
      <c r="C10" t="s">
        <v>20</v>
      </c>
    </row>
    <row r="11" spans="1:3" x14ac:dyDescent="0.25">
      <c r="A11" s="3" t="s">
        <v>21</v>
      </c>
      <c r="B11" t="s">
        <v>22</v>
      </c>
      <c r="C11" t="s">
        <v>23</v>
      </c>
    </row>
    <row r="12" spans="1:3" x14ac:dyDescent="0.25">
      <c r="A12" s="3" t="s">
        <v>24</v>
      </c>
      <c r="B12" t="s">
        <v>25</v>
      </c>
      <c r="C12" t="s">
        <v>26</v>
      </c>
    </row>
    <row r="13" spans="1:3" x14ac:dyDescent="0.25">
      <c r="A13" s="3" t="s">
        <v>27</v>
      </c>
      <c r="B13" t="s">
        <v>28</v>
      </c>
      <c r="C13" t="s">
        <v>29</v>
      </c>
    </row>
    <row r="14" spans="1:3" x14ac:dyDescent="0.25">
      <c r="A14" s="3" t="s">
        <v>30</v>
      </c>
      <c r="B14" t="s">
        <v>31</v>
      </c>
      <c r="C14" t="s">
        <v>32</v>
      </c>
    </row>
    <row r="15" spans="1:3" x14ac:dyDescent="0.25">
      <c r="A15" s="3" t="s">
        <v>33</v>
      </c>
      <c r="B15" t="s">
        <v>34</v>
      </c>
      <c r="C15" t="s">
        <v>35</v>
      </c>
    </row>
    <row r="16" spans="1:3" x14ac:dyDescent="0.25">
      <c r="A16" s="3" t="s">
        <v>36</v>
      </c>
      <c r="B16" t="s">
        <v>37</v>
      </c>
      <c r="C16" t="s">
        <v>38</v>
      </c>
    </row>
    <row r="17" spans="1:3" x14ac:dyDescent="0.25">
      <c r="A17" s="3" t="s">
        <v>39</v>
      </c>
      <c r="B17" t="s">
        <v>40</v>
      </c>
      <c r="C1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44" customWidth="1"/>
    <col min="2" max="2" width="80" customWidth="1"/>
    <col min="3" max="3" width="18" style="4" customWidth="1"/>
    <col min="4" max="4" width="22" customWidth="1"/>
  </cols>
  <sheetData>
    <row r="1" spans="1:1" x14ac:dyDescent="0.25">
      <c r="A1" s="5" t="s">
        <v>42</v>
      </c>
    </row>
    <row r="2" spans="1:1" x14ac:dyDescent="0.25">
      <c r="A2" t="s">
        <v>43</v>
      </c>
    </row>
    <row r="4" spans="1:4" x14ac:dyDescent="0.25">
      <c r="A4" s="6" t="s">
        <v>44</v>
      </c>
      <c r="B4" s="6" t="s">
        <v>45</v>
      </c>
      <c r="C4" s="7" t="s">
        <v>46</v>
      </c>
      <c r="D4" s="6" t="s">
        <v>47</v>
      </c>
    </row>
    <row r="5" spans="1:4" s="8" customFormat="1" x14ac:dyDescent="0.25">
      <c r="A5" s="8" t="s">
        <v>48</v>
      </c>
      <c r="B5" s="8" t="s">
        <v>49</v>
      </c>
      <c r="C5" s="9"/>
      <c r="D5" s="8" t="s">
        <v>49</v>
      </c>
    </row>
    <row r="6" spans="1:4" x14ac:dyDescent="0.25">
      <c r="A6">
        <v>1</v>
      </c>
      <c r="B6" t="s">
        <v>50</v>
      </c>
      <c r="C6" s="4">
        <v>877051</v>
      </c>
      <c r="D6" t="s">
        <v>51</v>
      </c>
    </row>
    <row r="7" spans="1:4" s="8" customFormat="1" x14ac:dyDescent="0.25">
      <c r="A7" s="8" t="s">
        <v>52</v>
      </c>
      <c r="B7" s="8" t="s">
        <v>49</v>
      </c>
      <c r="C7" s="9"/>
      <c r="D7" s="8" t="s">
        <v>49</v>
      </c>
    </row>
    <row r="8" spans="1:4" x14ac:dyDescent="0.25">
      <c r="A8">
        <v>2</v>
      </c>
      <c r="B8" t="s">
        <v>53</v>
      </c>
      <c r="C8" s="4">
        <v>32775.3</v>
      </c>
      <c r="D8" t="s">
        <v>51</v>
      </c>
    </row>
    <row r="9" spans="1:4" s="8" customFormat="1" x14ac:dyDescent="0.25">
      <c r="A9" s="8" t="s">
        <v>54</v>
      </c>
      <c r="B9" s="8" t="s">
        <v>49</v>
      </c>
      <c r="C9" s="9">
        <v>909826.3</v>
      </c>
      <c r="D9" s="8" t="s">
        <v>55</v>
      </c>
    </row>
    <row r="10" spans="1:4" s="8" customFormat="1" x14ac:dyDescent="0.25">
      <c r="A10" s="8" t="s">
        <v>56</v>
      </c>
      <c r="B10" s="8" t="s">
        <v>49</v>
      </c>
      <c r="C10" s="9"/>
      <c r="D10" s="8" t="s">
        <v>49</v>
      </c>
    </row>
    <row r="11" spans="1:4" x14ac:dyDescent="0.25">
      <c r="A11">
        <v>2</v>
      </c>
      <c r="B11" t="s">
        <v>53</v>
      </c>
      <c r="C11" s="4">
        <v>-32775.3</v>
      </c>
      <c r="D11" t="s">
        <v>57</v>
      </c>
    </row>
    <row r="12" spans="1:4" s="8" customFormat="1" x14ac:dyDescent="0.25">
      <c r="A12" s="8" t="s">
        <v>58</v>
      </c>
      <c r="B12" s="8" t="s">
        <v>49</v>
      </c>
      <c r="C12" s="9">
        <v>877051</v>
      </c>
      <c r="D12" s="8" t="s">
        <v>59</v>
      </c>
    </row>
    <row r="13" spans="1:4" s="8" customFormat="1" x14ac:dyDescent="0.25">
      <c r="A13" s="8" t="s">
        <v>60</v>
      </c>
      <c r="B13" s="8" t="s">
        <v>49</v>
      </c>
      <c r="C13" s="9"/>
      <c r="D13" s="8" t="s">
        <v>49</v>
      </c>
    </row>
    <row r="14" spans="1:4" x14ac:dyDescent="0.25">
      <c r="A14">
        <v>6</v>
      </c>
      <c r="B14" t="s">
        <v>61</v>
      </c>
      <c r="C14" s="4">
        <v>378000</v>
      </c>
      <c r="D14" t="s">
        <v>62</v>
      </c>
    </row>
    <row r="15" spans="1:4" x14ac:dyDescent="0.25">
      <c r="A15" t="s">
        <v>63</v>
      </c>
      <c r="B15" t="s">
        <v>49</v>
      </c>
      <c r="C15" s="4"/>
      <c r="D15" t="s">
        <v>49</v>
      </c>
    </row>
    <row r="16" spans="1:4" x14ac:dyDescent="0.25">
      <c r="A16">
        <v>4</v>
      </c>
      <c r="B16" t="s">
        <v>64</v>
      </c>
      <c r="C16" s="4">
        <v>2475430</v>
      </c>
      <c r="D16" t="s">
        <v>65</v>
      </c>
    </row>
    <row r="17" spans="1:4" s="8" customFormat="1" x14ac:dyDescent="0.25">
      <c r="A17" s="8" t="s">
        <v>66</v>
      </c>
      <c r="B17" s="8" t="s">
        <v>49</v>
      </c>
      <c r="C17" s="9">
        <v>69911</v>
      </c>
      <c r="D17" s="8" t="s">
        <v>67</v>
      </c>
    </row>
    <row r="18" spans="1:4" s="8" customFormat="1" x14ac:dyDescent="0.25">
      <c r="A18" s="8" t="s">
        <v>68</v>
      </c>
      <c r="B18" s="8" t="s">
        <v>49</v>
      </c>
      <c r="C18" s="9">
        <v>97705.1</v>
      </c>
      <c r="D18" s="8" t="s">
        <v>69</v>
      </c>
    </row>
    <row r="19" spans="1:4" x14ac:dyDescent="0.25">
      <c r="A19" t="s">
        <v>70</v>
      </c>
      <c r="B19" t="s">
        <v>71</v>
      </c>
      <c r="C19" s="4"/>
      <c r="D19" t="s">
        <v>72</v>
      </c>
    </row>
    <row r="20" spans="1:4" x14ac:dyDescent="0.25">
      <c r="A20" t="s">
        <v>73</v>
      </c>
      <c r="B20" t="s">
        <v>74</v>
      </c>
      <c r="C20" s="4"/>
      <c r="D20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60" customWidth="1"/>
    <col min="3" max="3" width="22" customWidth="1"/>
    <col min="4" max="5" width="18" customWidth="1"/>
    <col min="6" max="6" width="11" customWidth="1"/>
    <col min="7" max="7" width="20" customWidth="1"/>
    <col min="8" max="10" width="16" style="4" customWidth="1"/>
    <col min="11" max="11" width="30" customWidth="1"/>
    <col min="12" max="12" width="16" customWidth="1"/>
    <col min="13" max="13" width="18" customWidth="1"/>
    <col min="14" max="14" width="12" customWidth="1"/>
  </cols>
  <sheetData>
    <row r="1" spans="1:10" x14ac:dyDescent="0.25">
      <c r="A1" s="5" t="s">
        <v>75</v>
      </c>
      <c r="H1" s="4"/>
      <c r="I1" s="4"/>
      <c r="J1" s="4"/>
    </row>
    <row r="2" spans="1:10" x14ac:dyDescent="0.25">
      <c r="A2" s="10" t="s">
        <v>1</v>
      </c>
      <c r="H2" s="4"/>
      <c r="I2" s="4"/>
      <c r="J2" s="4"/>
    </row>
    <row r="4" ht="30" customHeight="1" spans="1:14" x14ac:dyDescent="0.25">
      <c r="A4" s="11" t="s">
        <v>76</v>
      </c>
      <c r="B4" s="11" t="s">
        <v>77</v>
      </c>
      <c r="C4" s="11" t="s">
        <v>78</v>
      </c>
      <c r="D4" s="11" t="s">
        <v>79</v>
      </c>
      <c r="E4" s="11" t="s">
        <v>80</v>
      </c>
      <c r="F4" s="11" t="s">
        <v>81</v>
      </c>
      <c r="G4" s="11" t="s">
        <v>82</v>
      </c>
      <c r="H4" s="12" t="s">
        <v>83</v>
      </c>
      <c r="I4" s="12" t="s">
        <v>84</v>
      </c>
      <c r="J4" s="12" t="s">
        <v>85</v>
      </c>
      <c r="K4" s="11" t="s">
        <v>86</v>
      </c>
      <c r="L4" s="11" t="s">
        <v>87</v>
      </c>
      <c r="M4" s="11" t="s">
        <v>88</v>
      </c>
      <c r="N4" s="11" t="s">
        <v>89</v>
      </c>
    </row>
    <row r="5" spans="1:14" x14ac:dyDescent="0.25">
      <c r="A5">
        <v>1</v>
      </c>
      <c r="B5" t="s">
        <v>50</v>
      </c>
      <c r="C5" t="s">
        <v>90</v>
      </c>
      <c r="E5" t="s">
        <v>91</v>
      </c>
      <c r="F5" t="s">
        <v>92</v>
      </c>
      <c r="G5" t="s">
        <v>93</v>
      </c>
      <c r="H5" s="4">
        <v>877051</v>
      </c>
      <c r="I5" s="4">
        <v>67905</v>
      </c>
      <c r="J5" s="4">
        <v>87705.1</v>
      </c>
      <c r="K5" t="s">
        <v>94</v>
      </c>
      <c r="L5" t="s">
        <v>95</v>
      </c>
      <c r="N5" s="13"/>
    </row>
    <row r="6" spans="1:14" x14ac:dyDescent="0.25">
      <c r="A6">
        <v>2</v>
      </c>
      <c r="B6" t="s">
        <v>53</v>
      </c>
      <c r="C6" t="s">
        <v>96</v>
      </c>
      <c r="F6" t="s">
        <v>97</v>
      </c>
      <c r="G6" t="s">
        <v>98</v>
      </c>
      <c r="H6" s="4">
        <v>32775.3</v>
      </c>
      <c r="I6" s="4">
        <v>2006</v>
      </c>
      <c r="J6" s="4">
        <v>10000</v>
      </c>
      <c r="K6" t="s">
        <v>99</v>
      </c>
      <c r="L6" t="s">
        <v>95</v>
      </c>
      <c r="N6" s="13"/>
    </row>
    <row r="7" spans="1:14" x14ac:dyDescent="0.25">
      <c r="A7">
        <v>3</v>
      </c>
      <c r="B7" t="s">
        <v>100</v>
      </c>
      <c r="C7" t="s">
        <v>101</v>
      </c>
      <c r="E7" t="s">
        <v>91</v>
      </c>
      <c r="F7" t="s">
        <v>97</v>
      </c>
      <c r="G7" t="s">
        <v>93</v>
      </c>
      <c r="H7" s="4">
        <v>0</v>
      </c>
      <c r="I7" s="4">
        <v>0</v>
      </c>
      <c r="J7" s="4">
        <v>0</v>
      </c>
      <c r="K7" t="s">
        <v>102</v>
      </c>
      <c r="L7" t="s">
        <v>95</v>
      </c>
      <c r="N7" s="13"/>
    </row>
    <row r="8" spans="1:14" x14ac:dyDescent="0.25">
      <c r="A8">
        <v>4</v>
      </c>
      <c r="B8" t="s">
        <v>64</v>
      </c>
      <c r="C8" t="s">
        <v>103</v>
      </c>
      <c r="F8" t="s">
        <v>104</v>
      </c>
      <c r="G8" t="s">
        <v>105</v>
      </c>
      <c r="H8" s="4">
        <v>0</v>
      </c>
      <c r="I8" s="4">
        <v>0</v>
      </c>
      <c r="J8" s="4">
        <v>0</v>
      </c>
      <c r="K8" t="s">
        <v>106</v>
      </c>
      <c r="L8" t="s">
        <v>95</v>
      </c>
      <c r="N8" s="13"/>
    </row>
    <row r="9" spans="1:14" x14ac:dyDescent="0.25">
      <c r="A9">
        <v>5</v>
      </c>
      <c r="B9" t="s">
        <v>107</v>
      </c>
      <c r="C9" t="s">
        <v>108</v>
      </c>
      <c r="E9" t="s">
        <v>91</v>
      </c>
      <c r="F9" t="s">
        <v>97</v>
      </c>
      <c r="G9" t="s">
        <v>93</v>
      </c>
      <c r="H9" s="4">
        <v>0</v>
      </c>
      <c r="I9" s="4">
        <v>0</v>
      </c>
      <c r="J9" s="4">
        <v>0</v>
      </c>
      <c r="K9" t="s">
        <v>102</v>
      </c>
      <c r="L9" t="s">
        <v>95</v>
      </c>
      <c r="N9" s="13"/>
    </row>
    <row r="10" spans="1:14" x14ac:dyDescent="0.25">
      <c r="A10">
        <v>6</v>
      </c>
      <c r="B10" t="s">
        <v>61</v>
      </c>
      <c r="C10" t="s">
        <v>109</v>
      </c>
      <c r="F10" t="s">
        <v>97</v>
      </c>
      <c r="G10" t="s">
        <v>98</v>
      </c>
      <c r="H10" s="4">
        <v>0</v>
      </c>
      <c r="I10" s="4">
        <v>0</v>
      </c>
      <c r="J10" s="4">
        <v>0</v>
      </c>
      <c r="K10" t="s">
        <v>110</v>
      </c>
      <c r="L10" t="s">
        <v>95</v>
      </c>
      <c r="N10" s="13"/>
    </row>
    <row r="11" spans="1:10" x14ac:dyDescent="0.25">
      <c r="A11" s="8" t="s">
        <v>111</v>
      </c>
      <c r="H11" s="9">
        <f>SUBTOTAL(9,H5:H10)</f>
      </c>
      <c r="I11" s="9">
        <f>SUBTOTAL(9,I5:I10)</f>
      </c>
      <c r="J11" s="9">
        <f>SUBTOTAL(9,J5:J10)</f>
      </c>
    </row>
  </sheetData>
  <autoFilter ref="A4:N10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&amp;LHIRA Associates | Your GST Compliance Partner&amp;RPage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11" customWidth="1"/>
    <col min="4" max="4" width="18" customWidth="1"/>
    <col min="5" max="5" width="20" customWidth="1"/>
    <col min="6" max="6" width="12" customWidth="1"/>
    <col min="7" max="7" width="26" customWidth="1"/>
    <col min="8" max="8" width="18" customWidth="1"/>
    <col min="9" max="9" width="11" customWidth="1"/>
    <col min="10" max="15" width="16" style="4" customWidth="1"/>
    <col min="16" max="16" width="80" customWidth="1"/>
    <col min="17" max="17" width="20" customWidth="1"/>
    <col min="18" max="18" width="14" customWidth="1"/>
    <col min="19" max="19" width="10" customWidth="1"/>
    <col min="20" max="21" width="40" customWidth="1"/>
  </cols>
  <sheetData>
    <row r="1" spans="1:15" x14ac:dyDescent="0.25">
      <c r="A1" s="5" t="s">
        <v>10</v>
      </c>
      <c r="J1" s="4"/>
      <c r="K1" s="4"/>
      <c r="L1" s="4"/>
      <c r="M1" s="4"/>
      <c r="N1" s="4"/>
      <c r="O1" s="4"/>
    </row>
    <row r="2" spans="1:15" x14ac:dyDescent="0.25">
      <c r="A2" s="10" t="s">
        <v>1</v>
      </c>
      <c r="J2" s="4"/>
      <c r="K2" s="4"/>
      <c r="L2" s="4"/>
      <c r="M2" s="4"/>
      <c r="N2" s="4"/>
      <c r="O2" s="4"/>
    </row>
    <row r="4" ht="30" customHeight="1" spans="1:21" x14ac:dyDescent="0.25">
      <c r="A4" s="11" t="s">
        <v>112</v>
      </c>
      <c r="B4" s="11" t="s">
        <v>113</v>
      </c>
      <c r="C4" s="11" t="s">
        <v>81</v>
      </c>
      <c r="D4" s="11" t="s">
        <v>80</v>
      </c>
      <c r="E4" s="11" t="s">
        <v>114</v>
      </c>
      <c r="F4" s="11" t="s">
        <v>115</v>
      </c>
      <c r="G4" s="11" t="s">
        <v>116</v>
      </c>
      <c r="H4" s="11" t="s">
        <v>117</v>
      </c>
      <c r="I4" s="11" t="s">
        <v>118</v>
      </c>
      <c r="J4" s="12" t="s">
        <v>119</v>
      </c>
      <c r="K4" s="12" t="s">
        <v>120</v>
      </c>
      <c r="L4" s="12" t="s">
        <v>121</v>
      </c>
      <c r="M4" s="12" t="s">
        <v>122</v>
      </c>
      <c r="N4" s="12" t="s">
        <v>123</v>
      </c>
      <c r="O4" s="12" t="s">
        <v>124</v>
      </c>
      <c r="P4" s="11" t="s">
        <v>125</v>
      </c>
      <c r="Q4" s="11" t="s">
        <v>82</v>
      </c>
      <c r="R4" s="11" t="s">
        <v>87</v>
      </c>
      <c r="S4" s="11" t="s">
        <v>126</v>
      </c>
      <c r="T4" s="11" t="s">
        <v>127</v>
      </c>
      <c r="U4" s="11" t="s">
        <v>128</v>
      </c>
    </row>
    <row r="5" spans="1:21" x14ac:dyDescent="0.25">
      <c r="A5" t="s">
        <v>129</v>
      </c>
      <c r="B5" t="s">
        <v>130</v>
      </c>
      <c r="C5" t="s">
        <v>97</v>
      </c>
      <c r="D5" t="s">
        <v>91</v>
      </c>
      <c r="E5" t="s">
        <v>131</v>
      </c>
      <c r="F5" s="13">
        <v>46114</v>
      </c>
      <c r="G5" t="s">
        <v>132</v>
      </c>
      <c r="H5" t="s">
        <v>133</v>
      </c>
      <c r="I5" s="13">
        <v>46113</v>
      </c>
      <c r="J5" s="4">
        <v>195814.76</v>
      </c>
      <c r="K5" s="4">
        <v>35246.66</v>
      </c>
      <c r="L5" s="4">
        <v>0</v>
      </c>
      <c r="M5" s="4">
        <v>0</v>
      </c>
      <c r="N5" s="4">
        <v>0</v>
      </c>
      <c r="O5" s="4">
        <v>35246.66</v>
      </c>
      <c r="P5" t="s">
        <v>134</v>
      </c>
      <c r="Q5" t="s">
        <v>98</v>
      </c>
      <c r="R5" t="s">
        <v>135</v>
      </c>
      <c r="U5" t="s">
        <v>136</v>
      </c>
    </row>
    <row r="6" spans="1:21" x14ac:dyDescent="0.25">
      <c r="A6" t="s">
        <v>129</v>
      </c>
      <c r="B6" t="s">
        <v>137</v>
      </c>
      <c r="C6" t="s">
        <v>97</v>
      </c>
      <c r="D6" t="s">
        <v>91</v>
      </c>
      <c r="E6" t="s">
        <v>138</v>
      </c>
      <c r="F6" s="13">
        <v>46124</v>
      </c>
      <c r="G6" t="s">
        <v>139</v>
      </c>
      <c r="H6" t="s">
        <v>140</v>
      </c>
      <c r="I6" s="13">
        <v>46113</v>
      </c>
      <c r="J6" s="4">
        <v>5000</v>
      </c>
      <c r="K6" s="4">
        <v>600</v>
      </c>
      <c r="L6" s="4">
        <v>0</v>
      </c>
      <c r="M6" s="4">
        <v>0</v>
      </c>
      <c r="N6" s="4">
        <v>0</v>
      </c>
      <c r="O6" s="4">
        <v>600</v>
      </c>
      <c r="P6" t="s">
        <v>141</v>
      </c>
      <c r="Q6" t="s">
        <v>98</v>
      </c>
      <c r="R6" t="s">
        <v>135</v>
      </c>
      <c r="U6" t="s">
        <v>142</v>
      </c>
    </row>
    <row r="7" spans="1:21" x14ac:dyDescent="0.25">
      <c r="A7" t="s">
        <v>129</v>
      </c>
      <c r="B7" t="s">
        <v>143</v>
      </c>
      <c r="C7" t="s">
        <v>97</v>
      </c>
      <c r="D7" t="s">
        <v>91</v>
      </c>
      <c r="E7" t="s">
        <v>144</v>
      </c>
      <c r="F7" s="13">
        <v>46131</v>
      </c>
      <c r="G7" t="s">
        <v>145</v>
      </c>
      <c r="H7" t="s">
        <v>146</v>
      </c>
      <c r="I7" s="13">
        <v>46113</v>
      </c>
      <c r="J7" s="4">
        <v>0</v>
      </c>
      <c r="K7" s="4">
        <v>28816.42</v>
      </c>
      <c r="L7" s="4">
        <v>0</v>
      </c>
      <c r="M7" s="4">
        <v>0</v>
      </c>
      <c r="N7" s="4">
        <v>0</v>
      </c>
      <c r="O7" s="4">
        <v>28816.42</v>
      </c>
      <c r="P7" t="s">
        <v>147</v>
      </c>
      <c r="Q7" t="s">
        <v>98</v>
      </c>
      <c r="R7" t="s">
        <v>135</v>
      </c>
      <c r="U7" t="s">
        <v>148</v>
      </c>
    </row>
    <row r="8" spans="1:21" x14ac:dyDescent="0.25">
      <c r="A8" t="s">
        <v>129</v>
      </c>
      <c r="B8" t="s">
        <v>130</v>
      </c>
      <c r="C8" t="s">
        <v>97</v>
      </c>
      <c r="D8" t="s">
        <v>91</v>
      </c>
      <c r="E8" t="s">
        <v>149</v>
      </c>
      <c r="F8" s="13">
        <v>46146</v>
      </c>
      <c r="G8" t="s">
        <v>150</v>
      </c>
      <c r="H8" t="s">
        <v>151</v>
      </c>
      <c r="I8" s="13">
        <v>46143</v>
      </c>
      <c r="J8" s="4">
        <v>265325.56</v>
      </c>
      <c r="K8" s="4">
        <v>0</v>
      </c>
      <c r="L8" s="4">
        <v>6633.14</v>
      </c>
      <c r="M8" s="4">
        <v>6633.14</v>
      </c>
      <c r="N8" s="4">
        <v>0</v>
      </c>
      <c r="O8" s="4">
        <v>13266.28</v>
      </c>
      <c r="P8" t="s">
        <v>152</v>
      </c>
      <c r="Q8" t="s">
        <v>98</v>
      </c>
      <c r="R8" t="s">
        <v>135</v>
      </c>
      <c r="U8" t="s">
        <v>153</v>
      </c>
    </row>
    <row r="9" spans="1:21" x14ac:dyDescent="0.25">
      <c r="A9" t="s">
        <v>129</v>
      </c>
      <c r="B9" t="s">
        <v>130</v>
      </c>
      <c r="C9" t="s">
        <v>97</v>
      </c>
      <c r="D9" t="s">
        <v>91</v>
      </c>
      <c r="E9" t="s">
        <v>154</v>
      </c>
      <c r="F9" s="13">
        <v>46151</v>
      </c>
      <c r="G9" t="s">
        <v>145</v>
      </c>
      <c r="H9" t="s">
        <v>146</v>
      </c>
      <c r="I9" s="13">
        <v>46143</v>
      </c>
      <c r="J9" s="4">
        <v>295602.53</v>
      </c>
      <c r="K9" s="4">
        <v>35472.3</v>
      </c>
      <c r="L9" s="4">
        <v>0</v>
      </c>
      <c r="M9" s="4">
        <v>0</v>
      </c>
      <c r="N9" s="4">
        <v>0</v>
      </c>
      <c r="O9" s="4">
        <v>35472.3</v>
      </c>
      <c r="P9" t="s">
        <v>155</v>
      </c>
      <c r="Q9" t="s">
        <v>98</v>
      </c>
      <c r="R9" t="s">
        <v>135</v>
      </c>
      <c r="U9" t="s">
        <v>156</v>
      </c>
    </row>
    <row r="10" spans="1:21" x14ac:dyDescent="0.25">
      <c r="A10" t="s">
        <v>129</v>
      </c>
      <c r="B10" t="s">
        <v>157</v>
      </c>
      <c r="C10" t="s">
        <v>97</v>
      </c>
      <c r="D10" t="s">
        <v>91</v>
      </c>
      <c r="F10" s="13"/>
      <c r="I10" s="13">
        <v>46143</v>
      </c>
      <c r="J10" s="4">
        <v>0</v>
      </c>
      <c r="K10" s="4">
        <v>42000</v>
      </c>
      <c r="L10" s="4">
        <v>0</v>
      </c>
      <c r="M10" s="4">
        <v>0</v>
      </c>
      <c r="N10" s="4">
        <v>0</v>
      </c>
      <c r="O10" s="4">
        <v>42000</v>
      </c>
      <c r="P10" t="s">
        <v>158</v>
      </c>
      <c r="Q10" t="s">
        <v>98</v>
      </c>
      <c r="R10" t="s">
        <v>135</v>
      </c>
      <c r="U10" t="s">
        <v>159</v>
      </c>
    </row>
    <row r="11" spans="1:21" x14ac:dyDescent="0.25">
      <c r="A11" t="s">
        <v>129</v>
      </c>
      <c r="B11" t="s">
        <v>160</v>
      </c>
      <c r="C11" t="s">
        <v>161</v>
      </c>
      <c r="D11" t="s">
        <v>91</v>
      </c>
      <c r="E11" t="s">
        <v>138</v>
      </c>
      <c r="F11" s="13">
        <v>46124</v>
      </c>
      <c r="G11" t="s">
        <v>139</v>
      </c>
      <c r="H11" t="s">
        <v>140</v>
      </c>
      <c r="I11" s="13">
        <v>46113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t="s">
        <v>162</v>
      </c>
      <c r="Q11" t="s">
        <v>98</v>
      </c>
      <c r="R11" t="s">
        <v>135</v>
      </c>
      <c r="U11" t="s">
        <v>142</v>
      </c>
    </row>
    <row r="12" spans="1:21" x14ac:dyDescent="0.25">
      <c r="A12" t="s">
        <v>129</v>
      </c>
      <c r="B12" t="s">
        <v>163</v>
      </c>
      <c r="C12" t="s">
        <v>161</v>
      </c>
      <c r="D12" t="s">
        <v>91</v>
      </c>
      <c r="E12" t="s">
        <v>164</v>
      </c>
      <c r="F12" s="13">
        <v>46153</v>
      </c>
      <c r="G12" t="s">
        <v>145</v>
      </c>
      <c r="H12" t="s">
        <v>146</v>
      </c>
      <c r="I12" s="13">
        <v>46143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t="s">
        <v>165</v>
      </c>
      <c r="Q12" t="s">
        <v>98</v>
      </c>
      <c r="R12" t="s">
        <v>135</v>
      </c>
      <c r="U12" t="s">
        <v>166</v>
      </c>
    </row>
    <row r="13" spans="1:21" x14ac:dyDescent="0.25">
      <c r="A13" t="s">
        <v>129</v>
      </c>
      <c r="B13" t="s">
        <v>167</v>
      </c>
      <c r="C13" t="s">
        <v>161</v>
      </c>
      <c r="D13" t="s">
        <v>91</v>
      </c>
      <c r="E13" t="s">
        <v>168</v>
      </c>
      <c r="F13" s="13">
        <v>46198</v>
      </c>
      <c r="G13" t="s">
        <v>145</v>
      </c>
      <c r="H13" t="s">
        <v>146</v>
      </c>
      <c r="I13" s="13">
        <v>46174</v>
      </c>
      <c r="J13" s="4">
        <v>144865.62</v>
      </c>
      <c r="K13" s="4">
        <v>7243.28</v>
      </c>
      <c r="L13" s="4">
        <v>0</v>
      </c>
      <c r="M13" s="4">
        <v>0</v>
      </c>
      <c r="N13" s="4">
        <v>0</v>
      </c>
      <c r="O13" s="4">
        <v>7243.28</v>
      </c>
      <c r="P13" t="s">
        <v>169</v>
      </c>
      <c r="Q13" t="s">
        <v>170</v>
      </c>
      <c r="R13" t="s">
        <v>135</v>
      </c>
      <c r="U13" t="s">
        <v>171</v>
      </c>
    </row>
    <row r="14" spans="1:21" x14ac:dyDescent="0.25">
      <c r="A14" t="s">
        <v>129</v>
      </c>
      <c r="B14" t="s">
        <v>172</v>
      </c>
      <c r="C14" t="s">
        <v>161</v>
      </c>
      <c r="D14" t="s">
        <v>91</v>
      </c>
      <c r="E14" t="s">
        <v>173</v>
      </c>
      <c r="F14" s="13">
        <v>46201</v>
      </c>
      <c r="H14" t="s">
        <v>140</v>
      </c>
      <c r="I14" s="13">
        <v>46174</v>
      </c>
      <c r="J14" s="4">
        <v>-75000</v>
      </c>
      <c r="K14" s="4">
        <v>-13500</v>
      </c>
      <c r="L14" s="4">
        <v>0</v>
      </c>
      <c r="M14" s="4">
        <v>0</v>
      </c>
      <c r="N14" s="4">
        <v>0</v>
      </c>
      <c r="O14" s="4">
        <v>-13500</v>
      </c>
      <c r="P14" t="s">
        <v>174</v>
      </c>
      <c r="Q14" t="s">
        <v>170</v>
      </c>
      <c r="R14" t="s">
        <v>135</v>
      </c>
      <c r="U14" t="s">
        <v>175</v>
      </c>
    </row>
    <row r="15" spans="1:21" x14ac:dyDescent="0.25">
      <c r="A15" t="s">
        <v>129</v>
      </c>
      <c r="B15" t="s">
        <v>176</v>
      </c>
      <c r="C15" t="s">
        <v>161</v>
      </c>
      <c r="D15" t="s">
        <v>91</v>
      </c>
      <c r="F15" s="13"/>
      <c r="I15" s="13">
        <v>46113</v>
      </c>
      <c r="J15" s="4">
        <v>0</v>
      </c>
      <c r="K15" s="4">
        <v>0</v>
      </c>
      <c r="L15" s="4">
        <v>15000</v>
      </c>
      <c r="M15" s="4">
        <v>15000</v>
      </c>
      <c r="N15" s="4">
        <v>0</v>
      </c>
      <c r="O15" s="4">
        <v>30000</v>
      </c>
      <c r="P15" t="s">
        <v>177</v>
      </c>
      <c r="Q15" t="s">
        <v>98</v>
      </c>
      <c r="R15" t="s">
        <v>135</v>
      </c>
      <c r="U15" t="s">
        <v>178</v>
      </c>
    </row>
    <row r="16" spans="1:21" x14ac:dyDescent="0.25">
      <c r="A16" t="s">
        <v>129</v>
      </c>
      <c r="B16" t="s">
        <v>176</v>
      </c>
      <c r="C16" t="s">
        <v>161</v>
      </c>
      <c r="D16" t="s">
        <v>91</v>
      </c>
      <c r="F16" s="13"/>
      <c r="I16" s="13">
        <v>46174</v>
      </c>
      <c r="J16" s="4">
        <v>0</v>
      </c>
      <c r="K16" s="4">
        <v>0</v>
      </c>
      <c r="L16" s="4">
        <v>-15000</v>
      </c>
      <c r="M16" s="4">
        <v>-15000</v>
      </c>
      <c r="N16" s="4">
        <v>0</v>
      </c>
      <c r="O16" s="4">
        <v>-30000</v>
      </c>
      <c r="P16" t="s">
        <v>179</v>
      </c>
      <c r="Q16" t="s">
        <v>98</v>
      </c>
      <c r="R16" t="s">
        <v>135</v>
      </c>
      <c r="U16" t="s">
        <v>180</v>
      </c>
    </row>
    <row r="17" spans="1:21" x14ac:dyDescent="0.25">
      <c r="A17" t="s">
        <v>181</v>
      </c>
      <c r="B17" t="s">
        <v>182</v>
      </c>
      <c r="C17" t="s">
        <v>97</v>
      </c>
      <c r="D17" t="s">
        <v>91</v>
      </c>
      <c r="E17" t="s">
        <v>183</v>
      </c>
      <c r="F17" s="13">
        <v>45422</v>
      </c>
      <c r="G17" t="s">
        <v>184</v>
      </c>
      <c r="H17" t="s">
        <v>185</v>
      </c>
      <c r="I17" s="13">
        <v>45413</v>
      </c>
      <c r="J17" s="4">
        <v>10000</v>
      </c>
      <c r="K17" s="4">
        <v>0</v>
      </c>
      <c r="L17" s="4">
        <v>900</v>
      </c>
      <c r="M17" s="4">
        <v>900</v>
      </c>
      <c r="N17" s="4">
        <v>0</v>
      </c>
      <c r="O17" s="4">
        <v>1800</v>
      </c>
      <c r="P17" t="s">
        <v>186</v>
      </c>
      <c r="Q17" t="s">
        <v>98</v>
      </c>
      <c r="R17" t="s">
        <v>135</v>
      </c>
      <c r="U17" t="s">
        <v>187</v>
      </c>
    </row>
    <row r="18" spans="1:21" x14ac:dyDescent="0.25">
      <c r="A18" t="s">
        <v>181</v>
      </c>
      <c r="B18" t="s">
        <v>188</v>
      </c>
      <c r="C18" t="s">
        <v>97</v>
      </c>
      <c r="D18" t="s">
        <v>91</v>
      </c>
      <c r="E18" t="s">
        <v>189</v>
      </c>
      <c r="F18" s="13">
        <v>46130</v>
      </c>
      <c r="G18" t="s">
        <v>190</v>
      </c>
      <c r="H18" t="s">
        <v>191</v>
      </c>
      <c r="I18" s="13">
        <v>46113</v>
      </c>
      <c r="J18" s="4">
        <v>94306.86</v>
      </c>
      <c r="K18" s="4">
        <v>0</v>
      </c>
      <c r="L18" s="4">
        <v>8487.62</v>
      </c>
      <c r="M18" s="4">
        <v>8487.62</v>
      </c>
      <c r="N18" s="4">
        <v>0</v>
      </c>
      <c r="O18" s="4">
        <v>16975.24</v>
      </c>
      <c r="P18" t="s">
        <v>192</v>
      </c>
      <c r="Q18" t="s">
        <v>98</v>
      </c>
      <c r="R18" t="s">
        <v>135</v>
      </c>
      <c r="U18" t="s">
        <v>193</v>
      </c>
    </row>
    <row r="19" spans="1:21" x14ac:dyDescent="0.25">
      <c r="A19" t="s">
        <v>181</v>
      </c>
      <c r="B19" t="s">
        <v>188</v>
      </c>
      <c r="C19" t="s">
        <v>97</v>
      </c>
      <c r="D19" t="s">
        <v>91</v>
      </c>
      <c r="E19" t="s">
        <v>194</v>
      </c>
      <c r="F19" s="13">
        <v>46145</v>
      </c>
      <c r="G19" t="s">
        <v>195</v>
      </c>
      <c r="H19" t="s">
        <v>196</v>
      </c>
      <c r="I19" s="13">
        <v>46143</v>
      </c>
      <c r="J19" s="4">
        <v>60366.2</v>
      </c>
      <c r="K19" s="4">
        <v>10865.92</v>
      </c>
      <c r="L19" s="4">
        <v>0</v>
      </c>
      <c r="M19" s="4">
        <v>0</v>
      </c>
      <c r="N19" s="4">
        <v>0</v>
      </c>
      <c r="O19" s="4">
        <v>10865.92</v>
      </c>
      <c r="P19" t="s">
        <v>197</v>
      </c>
      <c r="Q19" t="s">
        <v>98</v>
      </c>
      <c r="R19" t="s">
        <v>135</v>
      </c>
      <c r="U19" t="s">
        <v>198</v>
      </c>
    </row>
    <row r="20" spans="1:21" x14ac:dyDescent="0.25">
      <c r="A20" t="s">
        <v>181</v>
      </c>
      <c r="B20" t="s">
        <v>199</v>
      </c>
      <c r="C20" t="s">
        <v>97</v>
      </c>
      <c r="D20" t="s">
        <v>91</v>
      </c>
      <c r="E20" t="s">
        <v>200</v>
      </c>
      <c r="F20" s="13">
        <v>46159</v>
      </c>
      <c r="G20" t="s">
        <v>195</v>
      </c>
      <c r="H20" t="s">
        <v>196</v>
      </c>
      <c r="I20" s="13">
        <v>46143</v>
      </c>
      <c r="J20" s="4">
        <v>0</v>
      </c>
      <c r="K20" s="4">
        <v>7895.02</v>
      </c>
      <c r="L20" s="4">
        <v>0</v>
      </c>
      <c r="M20" s="4">
        <v>0</v>
      </c>
      <c r="N20" s="4">
        <v>0</v>
      </c>
      <c r="O20" s="4">
        <v>7895.02</v>
      </c>
      <c r="P20" t="s">
        <v>201</v>
      </c>
      <c r="Q20" t="s">
        <v>98</v>
      </c>
      <c r="R20" t="s">
        <v>135</v>
      </c>
      <c r="U20" t="s">
        <v>202</v>
      </c>
    </row>
    <row r="21" spans="1:21" x14ac:dyDescent="0.25">
      <c r="A21" t="s">
        <v>181</v>
      </c>
      <c r="B21" t="s">
        <v>188</v>
      </c>
      <c r="C21" t="s">
        <v>97</v>
      </c>
      <c r="D21" t="s">
        <v>91</v>
      </c>
      <c r="E21" t="s">
        <v>203</v>
      </c>
      <c r="F21" s="13">
        <v>46183</v>
      </c>
      <c r="G21" t="s">
        <v>204</v>
      </c>
      <c r="H21" t="s">
        <v>205</v>
      </c>
      <c r="I21" s="13">
        <v>46174</v>
      </c>
      <c r="J21" s="4">
        <v>39328.99</v>
      </c>
      <c r="K21" s="4">
        <v>0</v>
      </c>
      <c r="L21" s="4">
        <v>3539.61</v>
      </c>
      <c r="M21" s="4">
        <v>3539.61</v>
      </c>
      <c r="N21" s="4">
        <v>0</v>
      </c>
      <c r="O21" s="4">
        <v>7079.22</v>
      </c>
      <c r="P21" t="s">
        <v>206</v>
      </c>
      <c r="Q21" t="s">
        <v>98</v>
      </c>
      <c r="R21" t="s">
        <v>135</v>
      </c>
      <c r="U21" t="s">
        <v>207</v>
      </c>
    </row>
    <row r="22" spans="1:21" x14ac:dyDescent="0.25">
      <c r="A22" t="s">
        <v>181</v>
      </c>
      <c r="B22" t="s">
        <v>208</v>
      </c>
      <c r="C22" t="s">
        <v>97</v>
      </c>
      <c r="D22" t="s">
        <v>91</v>
      </c>
      <c r="F22" s="13"/>
      <c r="I22" s="13">
        <v>46174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1679.18</v>
      </c>
      <c r="P22" t="s">
        <v>209</v>
      </c>
      <c r="Q22" t="s">
        <v>98</v>
      </c>
      <c r="R22" t="s">
        <v>135</v>
      </c>
      <c r="U22" t="s">
        <v>210</v>
      </c>
    </row>
    <row r="23" spans="1:21" x14ac:dyDescent="0.25">
      <c r="A23" t="s">
        <v>181</v>
      </c>
      <c r="B23" t="s">
        <v>208</v>
      </c>
      <c r="C23" t="s">
        <v>97</v>
      </c>
      <c r="D23" t="s">
        <v>91</v>
      </c>
      <c r="F23" s="13"/>
      <c r="I23" s="13">
        <v>46113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894026.22</v>
      </c>
      <c r="P23" t="s">
        <v>211</v>
      </c>
      <c r="Q23" t="s">
        <v>98</v>
      </c>
      <c r="R23" t="s">
        <v>135</v>
      </c>
      <c r="U23" t="s">
        <v>212</v>
      </c>
    </row>
    <row r="24" spans="1:21" x14ac:dyDescent="0.25">
      <c r="A24" t="s">
        <v>181</v>
      </c>
      <c r="B24" t="s">
        <v>208</v>
      </c>
      <c r="C24" t="s">
        <v>97</v>
      </c>
      <c r="D24" t="s">
        <v>91</v>
      </c>
      <c r="F24" s="13"/>
      <c r="I24" s="13">
        <v>46143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9760.89</v>
      </c>
      <c r="P24" t="s">
        <v>213</v>
      </c>
      <c r="Q24" t="s">
        <v>98</v>
      </c>
      <c r="R24" t="s">
        <v>135</v>
      </c>
      <c r="U24" t="s">
        <v>214</v>
      </c>
    </row>
    <row r="25" spans="1:21" x14ac:dyDescent="0.25">
      <c r="A25" t="s">
        <v>181</v>
      </c>
      <c r="B25" t="s">
        <v>215</v>
      </c>
      <c r="C25" t="s">
        <v>161</v>
      </c>
      <c r="D25" t="s">
        <v>91</v>
      </c>
      <c r="E25" t="s">
        <v>216</v>
      </c>
      <c r="F25" s="13">
        <v>46203</v>
      </c>
      <c r="G25" t="s">
        <v>217</v>
      </c>
      <c r="H25" t="s">
        <v>218</v>
      </c>
      <c r="I25" s="13">
        <v>46174</v>
      </c>
      <c r="J25" s="4">
        <v>0</v>
      </c>
      <c r="K25" s="4">
        <v>0</v>
      </c>
      <c r="L25" s="4">
        <v>18000</v>
      </c>
      <c r="M25" s="4">
        <v>18000</v>
      </c>
      <c r="N25" s="4">
        <v>0</v>
      </c>
      <c r="O25" s="4">
        <v>36000</v>
      </c>
      <c r="P25" t="s">
        <v>219</v>
      </c>
      <c r="Q25" t="s">
        <v>98</v>
      </c>
      <c r="R25" t="s">
        <v>135</v>
      </c>
      <c r="U25" t="s">
        <v>220</v>
      </c>
    </row>
    <row r="26" spans="1:21" x14ac:dyDescent="0.25">
      <c r="A26" t="s">
        <v>181</v>
      </c>
      <c r="B26" t="s">
        <v>215</v>
      </c>
      <c r="C26" t="s">
        <v>161</v>
      </c>
      <c r="E26" t="s">
        <v>216</v>
      </c>
      <c r="F26" s="13">
        <v>46203</v>
      </c>
      <c r="G26" t="s">
        <v>217</v>
      </c>
      <c r="H26" t="s">
        <v>218</v>
      </c>
      <c r="I26" s="13">
        <v>46174</v>
      </c>
      <c r="J26" s="4">
        <v>0</v>
      </c>
      <c r="K26" s="4">
        <v>0</v>
      </c>
      <c r="L26" s="4">
        <v>18000</v>
      </c>
      <c r="M26" s="4">
        <v>18000</v>
      </c>
      <c r="N26" s="4">
        <v>0</v>
      </c>
      <c r="O26" s="4">
        <v>36000</v>
      </c>
      <c r="P26" t="s">
        <v>219</v>
      </c>
      <c r="Q26" t="s">
        <v>98</v>
      </c>
      <c r="R26" t="s">
        <v>135</v>
      </c>
      <c r="U26" t="s">
        <v>220</v>
      </c>
    </row>
    <row r="27" spans="1:21" x14ac:dyDescent="0.25">
      <c r="A27" t="s">
        <v>181</v>
      </c>
      <c r="B27" t="s">
        <v>221</v>
      </c>
      <c r="C27" t="s">
        <v>161</v>
      </c>
      <c r="F27" s="13"/>
      <c r="I27" s="13"/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12500</v>
      </c>
      <c r="P27" t="s">
        <v>222</v>
      </c>
      <c r="Q27" t="s">
        <v>170</v>
      </c>
      <c r="R27" t="s">
        <v>135</v>
      </c>
      <c r="U27" t="s">
        <v>223</v>
      </c>
    </row>
    <row r="28" spans="1:21" x14ac:dyDescent="0.25">
      <c r="A28" t="s">
        <v>181</v>
      </c>
      <c r="B28" t="s">
        <v>224</v>
      </c>
      <c r="C28" t="s">
        <v>104</v>
      </c>
      <c r="D28" t="s">
        <v>91</v>
      </c>
      <c r="E28" t="s">
        <v>225</v>
      </c>
      <c r="F28" s="13">
        <v>46156</v>
      </c>
      <c r="G28" t="s">
        <v>190</v>
      </c>
      <c r="H28" t="s">
        <v>191</v>
      </c>
      <c r="I28" s="13">
        <v>46143</v>
      </c>
      <c r="J28" s="4">
        <v>50000</v>
      </c>
      <c r="K28" s="4">
        <v>0</v>
      </c>
      <c r="L28" s="4">
        <v>4500</v>
      </c>
      <c r="M28" s="4">
        <v>4500</v>
      </c>
      <c r="N28" s="4">
        <v>0</v>
      </c>
      <c r="O28" s="4">
        <v>9000</v>
      </c>
      <c r="P28" t="s">
        <v>226</v>
      </c>
      <c r="Q28" t="s">
        <v>105</v>
      </c>
      <c r="R28" t="s">
        <v>135</v>
      </c>
      <c r="U28" t="s">
        <v>227</v>
      </c>
    </row>
    <row r="29" spans="1:21" x14ac:dyDescent="0.25">
      <c r="A29" t="s">
        <v>181</v>
      </c>
      <c r="B29" t="s">
        <v>224</v>
      </c>
      <c r="C29" t="s">
        <v>104</v>
      </c>
      <c r="D29" t="s">
        <v>91</v>
      </c>
      <c r="E29" t="s">
        <v>228</v>
      </c>
      <c r="F29" s="13">
        <v>46182</v>
      </c>
      <c r="G29" t="s">
        <v>195</v>
      </c>
      <c r="H29" t="s">
        <v>196</v>
      </c>
      <c r="I29" s="13">
        <v>46174</v>
      </c>
      <c r="J29" s="4">
        <v>30000</v>
      </c>
      <c r="K29" s="4">
        <v>5400</v>
      </c>
      <c r="L29" s="4">
        <v>0</v>
      </c>
      <c r="M29" s="4">
        <v>0</v>
      </c>
      <c r="N29" s="4">
        <v>0</v>
      </c>
      <c r="O29" s="4">
        <v>5400</v>
      </c>
      <c r="P29" t="s">
        <v>229</v>
      </c>
      <c r="Q29" t="s">
        <v>105</v>
      </c>
      <c r="R29" t="s">
        <v>135</v>
      </c>
      <c r="U29" t="s">
        <v>230</v>
      </c>
    </row>
    <row r="30" spans="1:21" x14ac:dyDescent="0.25">
      <c r="A30" t="s">
        <v>231</v>
      </c>
      <c r="B30" t="s">
        <v>232</v>
      </c>
      <c r="C30" t="s">
        <v>97</v>
      </c>
      <c r="E30" t="s">
        <v>233</v>
      </c>
      <c r="F30" s="13">
        <v>46165</v>
      </c>
      <c r="G30" t="s">
        <v>234</v>
      </c>
      <c r="I30" s="13">
        <v>46143</v>
      </c>
      <c r="J30" s="4">
        <v>147256</v>
      </c>
      <c r="K30" s="4">
        <v>26506.08</v>
      </c>
      <c r="L30" s="4">
        <v>0</v>
      </c>
      <c r="M30" s="4">
        <v>0</v>
      </c>
      <c r="N30" s="4">
        <v>0</v>
      </c>
      <c r="O30" s="4">
        <v>26506.08</v>
      </c>
      <c r="P30" t="s">
        <v>235</v>
      </c>
      <c r="Q30" t="s">
        <v>98</v>
      </c>
      <c r="R30" t="s">
        <v>236</v>
      </c>
      <c r="S30">
        <v>2</v>
      </c>
      <c r="U30" t="s">
        <v>237</v>
      </c>
    </row>
    <row r="31" spans="1:21" x14ac:dyDescent="0.25">
      <c r="A31" t="s">
        <v>231</v>
      </c>
      <c r="B31" t="s">
        <v>232</v>
      </c>
      <c r="C31" t="s">
        <v>161</v>
      </c>
      <c r="E31" t="s">
        <v>238</v>
      </c>
      <c r="F31" s="13">
        <v>46160</v>
      </c>
      <c r="G31" t="s">
        <v>239</v>
      </c>
      <c r="I31" s="13">
        <v>46143</v>
      </c>
      <c r="J31" s="4">
        <v>23267</v>
      </c>
      <c r="K31" s="4">
        <v>4188.06</v>
      </c>
      <c r="L31" s="4">
        <v>0</v>
      </c>
      <c r="M31" s="4">
        <v>0</v>
      </c>
      <c r="N31" s="4">
        <v>0</v>
      </c>
      <c r="O31" s="4">
        <v>4188.06</v>
      </c>
      <c r="P31" t="s">
        <v>240</v>
      </c>
      <c r="Q31" t="s">
        <v>98</v>
      </c>
      <c r="R31" t="s">
        <v>236</v>
      </c>
      <c r="S31">
        <v>2</v>
      </c>
      <c r="U31" t="s">
        <v>241</v>
      </c>
    </row>
    <row r="32" spans="1:21" x14ac:dyDescent="0.25">
      <c r="A32" t="s">
        <v>231</v>
      </c>
      <c r="B32" t="s">
        <v>232</v>
      </c>
      <c r="C32" t="s">
        <v>161</v>
      </c>
      <c r="E32" t="s">
        <v>242</v>
      </c>
      <c r="F32" s="13">
        <v>46184</v>
      </c>
      <c r="G32" t="s">
        <v>243</v>
      </c>
      <c r="I32" s="13">
        <v>46174</v>
      </c>
      <c r="J32" s="4">
        <v>11562</v>
      </c>
      <c r="K32" s="4">
        <v>2081.16</v>
      </c>
      <c r="L32" s="4">
        <v>0</v>
      </c>
      <c r="M32" s="4">
        <v>0</v>
      </c>
      <c r="N32" s="4">
        <v>0</v>
      </c>
      <c r="O32" s="4">
        <v>2081.16</v>
      </c>
      <c r="P32" t="s">
        <v>244</v>
      </c>
      <c r="Q32" t="s">
        <v>98</v>
      </c>
      <c r="R32" t="s">
        <v>236</v>
      </c>
      <c r="S32">
        <v>2</v>
      </c>
      <c r="U32" t="s">
        <v>245</v>
      </c>
    </row>
    <row r="33" spans="1:21" x14ac:dyDescent="0.25">
      <c r="A33" t="s">
        <v>231</v>
      </c>
      <c r="B33" t="s">
        <v>246</v>
      </c>
      <c r="C33" t="s">
        <v>161</v>
      </c>
      <c r="E33" t="s">
        <v>247</v>
      </c>
      <c r="F33" s="13">
        <v>46188</v>
      </c>
      <c r="G33" t="s">
        <v>248</v>
      </c>
      <c r="I33" s="13">
        <v>46174</v>
      </c>
      <c r="J33" s="4">
        <v>45000</v>
      </c>
      <c r="K33" s="4">
        <v>0</v>
      </c>
      <c r="L33" s="4">
        <v>0</v>
      </c>
      <c r="M33" s="4">
        <v>0</v>
      </c>
      <c r="N33" s="4">
        <v>0</v>
      </c>
      <c r="O33" s="4">
        <v>8100</v>
      </c>
      <c r="P33" t="s">
        <v>249</v>
      </c>
      <c r="Q33" t="s">
        <v>170</v>
      </c>
      <c r="R33" t="s">
        <v>135</v>
      </c>
      <c r="U33" t="s">
        <v>250</v>
      </c>
    </row>
    <row r="34" spans="1:21" x14ac:dyDescent="0.25">
      <c r="A34" t="s">
        <v>231</v>
      </c>
      <c r="B34" t="s">
        <v>246</v>
      </c>
      <c r="C34" t="s">
        <v>161</v>
      </c>
      <c r="E34" t="s">
        <v>251</v>
      </c>
      <c r="F34" s="13">
        <v>46193</v>
      </c>
      <c r="G34" t="s">
        <v>252</v>
      </c>
      <c r="I34" s="13">
        <v>46174</v>
      </c>
      <c r="J34" s="4">
        <v>60000</v>
      </c>
      <c r="K34" s="4">
        <v>0</v>
      </c>
      <c r="L34" s="4">
        <v>0</v>
      </c>
      <c r="M34" s="4">
        <v>0</v>
      </c>
      <c r="N34" s="4">
        <v>0</v>
      </c>
      <c r="O34" s="4">
        <v>10800</v>
      </c>
      <c r="P34" t="s">
        <v>253</v>
      </c>
      <c r="Q34" t="s">
        <v>170</v>
      </c>
      <c r="R34" t="s">
        <v>135</v>
      </c>
      <c r="U34" t="s">
        <v>254</v>
      </c>
    </row>
    <row r="35" spans="1:21" x14ac:dyDescent="0.25">
      <c r="A35" t="s">
        <v>255</v>
      </c>
      <c r="B35" t="s">
        <v>256</v>
      </c>
      <c r="C35" t="s">
        <v>97</v>
      </c>
      <c r="D35" t="s">
        <v>91</v>
      </c>
      <c r="E35" t="s">
        <v>131</v>
      </c>
      <c r="F35" s="13">
        <v>46114</v>
      </c>
      <c r="H35" t="s">
        <v>133</v>
      </c>
      <c r="I35" s="13"/>
      <c r="J35" s="4">
        <v>195814.76</v>
      </c>
      <c r="K35" s="4">
        <v>35246.66</v>
      </c>
      <c r="L35" s="4">
        <v>0</v>
      </c>
      <c r="M35" s="4">
        <v>0</v>
      </c>
      <c r="N35" s="4">
        <v>0</v>
      </c>
      <c r="O35" s="4">
        <v>35246.66</v>
      </c>
      <c r="P35" t="s">
        <v>257</v>
      </c>
      <c r="Q35" t="s">
        <v>98</v>
      </c>
      <c r="R35" t="s">
        <v>135</v>
      </c>
      <c r="U35" t="s">
        <v>258</v>
      </c>
    </row>
    <row r="36" spans="1:21" x14ac:dyDescent="0.25">
      <c r="A36" t="s">
        <v>255</v>
      </c>
      <c r="B36" t="s">
        <v>259</v>
      </c>
      <c r="C36" t="s">
        <v>97</v>
      </c>
      <c r="D36" t="s">
        <v>91</v>
      </c>
      <c r="E36" t="s">
        <v>260</v>
      </c>
      <c r="F36" s="13">
        <v>46122</v>
      </c>
      <c r="I36" s="13">
        <v>46113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t="s">
        <v>261</v>
      </c>
      <c r="Q36" t="s">
        <v>98</v>
      </c>
      <c r="R36" t="s">
        <v>135</v>
      </c>
      <c r="U36" t="s">
        <v>262</v>
      </c>
    </row>
    <row r="37" spans="1:21" x14ac:dyDescent="0.25">
      <c r="A37" t="s">
        <v>255</v>
      </c>
      <c r="B37" t="s">
        <v>259</v>
      </c>
      <c r="C37" t="s">
        <v>97</v>
      </c>
      <c r="D37" t="s">
        <v>91</v>
      </c>
      <c r="E37" t="s">
        <v>263</v>
      </c>
      <c r="F37" s="13">
        <v>46123</v>
      </c>
      <c r="I37" s="13">
        <v>46113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t="s">
        <v>264</v>
      </c>
      <c r="Q37" t="s">
        <v>98</v>
      </c>
      <c r="R37" t="s">
        <v>135</v>
      </c>
      <c r="U37" t="s">
        <v>265</v>
      </c>
    </row>
    <row r="38" spans="1:21" x14ac:dyDescent="0.25">
      <c r="A38" t="s">
        <v>255</v>
      </c>
      <c r="B38" t="s">
        <v>259</v>
      </c>
      <c r="C38" t="s">
        <v>97</v>
      </c>
      <c r="D38" t="s">
        <v>91</v>
      </c>
      <c r="E38" t="s">
        <v>138</v>
      </c>
      <c r="F38" s="13">
        <v>46124</v>
      </c>
      <c r="H38" t="s">
        <v>140</v>
      </c>
      <c r="I38" s="13">
        <v>46113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t="s">
        <v>266</v>
      </c>
      <c r="Q38" t="s">
        <v>98</v>
      </c>
      <c r="R38" t="s">
        <v>135</v>
      </c>
      <c r="U38" t="s">
        <v>267</v>
      </c>
    </row>
    <row r="39" spans="1:21" x14ac:dyDescent="0.25">
      <c r="A39" t="s">
        <v>255</v>
      </c>
      <c r="B39" t="s">
        <v>256</v>
      </c>
      <c r="C39" t="s">
        <v>97</v>
      </c>
      <c r="D39" t="s">
        <v>91</v>
      </c>
      <c r="E39" t="s">
        <v>149</v>
      </c>
      <c r="F39" s="13">
        <v>46146</v>
      </c>
      <c r="H39" t="s">
        <v>151</v>
      </c>
      <c r="I39" s="13"/>
      <c r="J39" s="4">
        <v>265325.56</v>
      </c>
      <c r="K39" s="4">
        <v>0</v>
      </c>
      <c r="L39" s="4">
        <v>6633.14</v>
      </c>
      <c r="M39" s="4">
        <v>6633.14</v>
      </c>
      <c r="N39" s="4">
        <v>0</v>
      </c>
      <c r="O39" s="4">
        <v>13266.28</v>
      </c>
      <c r="P39" t="s">
        <v>268</v>
      </c>
      <c r="Q39" t="s">
        <v>98</v>
      </c>
      <c r="R39" t="s">
        <v>135</v>
      </c>
      <c r="U39" t="s">
        <v>269</v>
      </c>
    </row>
    <row r="40" spans="1:21" x14ac:dyDescent="0.25">
      <c r="A40" t="s">
        <v>255</v>
      </c>
      <c r="B40" t="s">
        <v>256</v>
      </c>
      <c r="C40" t="s">
        <v>97</v>
      </c>
      <c r="D40" t="s">
        <v>91</v>
      </c>
      <c r="E40" t="s">
        <v>154</v>
      </c>
      <c r="F40" s="13">
        <v>46151</v>
      </c>
      <c r="H40" t="s">
        <v>146</v>
      </c>
      <c r="I40" s="13"/>
      <c r="J40" s="4">
        <v>295602.53</v>
      </c>
      <c r="K40" s="4">
        <v>35472.3</v>
      </c>
      <c r="L40" s="4">
        <v>0</v>
      </c>
      <c r="M40" s="4">
        <v>0</v>
      </c>
      <c r="N40" s="4">
        <v>0</v>
      </c>
      <c r="O40" s="4">
        <v>35472.3</v>
      </c>
      <c r="P40" t="s">
        <v>270</v>
      </c>
      <c r="Q40" t="s">
        <v>98</v>
      </c>
      <c r="R40" t="s">
        <v>135</v>
      </c>
      <c r="U40" t="s">
        <v>271</v>
      </c>
    </row>
    <row r="41" spans="1:21" x14ac:dyDescent="0.25">
      <c r="A41" t="s">
        <v>255</v>
      </c>
      <c r="B41" t="s">
        <v>259</v>
      </c>
      <c r="C41" t="s">
        <v>97</v>
      </c>
      <c r="D41" t="s">
        <v>91</v>
      </c>
      <c r="E41" t="s">
        <v>272</v>
      </c>
      <c r="F41" s="13">
        <v>46154</v>
      </c>
      <c r="I41" s="13">
        <v>46143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t="s">
        <v>273</v>
      </c>
      <c r="Q41" t="s">
        <v>98</v>
      </c>
      <c r="R41" t="s">
        <v>135</v>
      </c>
      <c r="U41" t="s">
        <v>274</v>
      </c>
    </row>
    <row r="42" spans="1:21" x14ac:dyDescent="0.25">
      <c r="A42" t="s">
        <v>255</v>
      </c>
      <c r="B42" t="s">
        <v>259</v>
      </c>
      <c r="C42" t="s">
        <v>97</v>
      </c>
      <c r="D42" t="s">
        <v>91</v>
      </c>
      <c r="E42" t="s">
        <v>275</v>
      </c>
      <c r="F42" s="13">
        <v>46155</v>
      </c>
      <c r="I42" s="13">
        <v>46143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t="s">
        <v>276</v>
      </c>
      <c r="Q42" t="s">
        <v>98</v>
      </c>
      <c r="R42" t="s">
        <v>135</v>
      </c>
      <c r="U42" t="s">
        <v>277</v>
      </c>
    </row>
    <row r="43" spans="1:21" x14ac:dyDescent="0.25">
      <c r="A43" t="s">
        <v>255</v>
      </c>
      <c r="B43" t="s">
        <v>259</v>
      </c>
      <c r="C43" t="s">
        <v>97</v>
      </c>
      <c r="D43" t="s">
        <v>91</v>
      </c>
      <c r="E43" t="s">
        <v>278</v>
      </c>
      <c r="F43" s="13">
        <v>46187</v>
      </c>
      <c r="I43" s="13">
        <v>46174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t="s">
        <v>279</v>
      </c>
      <c r="Q43" t="s">
        <v>98</v>
      </c>
      <c r="R43" t="s">
        <v>135</v>
      </c>
      <c r="U43" t="s">
        <v>280</v>
      </c>
    </row>
    <row r="44" spans="1:21" x14ac:dyDescent="0.25">
      <c r="A44" t="s">
        <v>255</v>
      </c>
      <c r="B44" t="s">
        <v>259</v>
      </c>
      <c r="C44" t="s">
        <v>97</v>
      </c>
      <c r="D44" t="s">
        <v>91</v>
      </c>
      <c r="E44" t="s">
        <v>173</v>
      </c>
      <c r="F44" s="13">
        <v>46201</v>
      </c>
      <c r="H44" t="s">
        <v>140</v>
      </c>
      <c r="I44" s="13">
        <v>46174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t="s">
        <v>281</v>
      </c>
      <c r="Q44" t="s">
        <v>98</v>
      </c>
      <c r="R44" t="s">
        <v>135</v>
      </c>
      <c r="U44" t="s">
        <v>175</v>
      </c>
    </row>
    <row r="45" spans="1:21" x14ac:dyDescent="0.25">
      <c r="A45" t="s">
        <v>255</v>
      </c>
      <c r="B45" t="s">
        <v>282</v>
      </c>
      <c r="C45" t="s">
        <v>161</v>
      </c>
      <c r="D45" t="s">
        <v>91</v>
      </c>
      <c r="E45" t="s">
        <v>144</v>
      </c>
      <c r="F45" s="13">
        <v>46131</v>
      </c>
      <c r="H45" t="s">
        <v>146</v>
      </c>
      <c r="I45" s="13"/>
      <c r="J45" s="4">
        <v>0</v>
      </c>
      <c r="K45" s="4">
        <v>28816.42</v>
      </c>
      <c r="L45" s="4">
        <v>0</v>
      </c>
      <c r="M45" s="4">
        <v>0</v>
      </c>
      <c r="N45" s="4">
        <v>0</v>
      </c>
      <c r="O45" s="4">
        <v>28816.42</v>
      </c>
      <c r="P45" t="s">
        <v>283</v>
      </c>
      <c r="Q45" t="s">
        <v>98</v>
      </c>
      <c r="R45" t="s">
        <v>135</v>
      </c>
      <c r="U45" t="s">
        <v>284</v>
      </c>
    </row>
    <row r="46" spans="1:21" x14ac:dyDescent="0.25">
      <c r="A46" t="s">
        <v>285</v>
      </c>
      <c r="B46" t="s">
        <v>286</v>
      </c>
      <c r="C46" t="s">
        <v>97</v>
      </c>
      <c r="D46" t="s">
        <v>91</v>
      </c>
      <c r="F46" s="13"/>
      <c r="I46" s="13"/>
      <c r="J46" s="4">
        <v>0</v>
      </c>
      <c r="K46" s="4">
        <v>0</v>
      </c>
      <c r="L46" s="4">
        <v>0</v>
      </c>
      <c r="M46" s="4">
        <v>0</v>
      </c>
      <c r="N46" s="4">
        <v>99312.89</v>
      </c>
      <c r="O46" s="4">
        <v>0</v>
      </c>
      <c r="P46" t="s">
        <v>287</v>
      </c>
      <c r="Q46" t="s">
        <v>93</v>
      </c>
      <c r="R46" t="s">
        <v>236</v>
      </c>
      <c r="S46">
        <v>3</v>
      </c>
      <c r="U46" t="s">
        <v>288</v>
      </c>
    </row>
    <row r="47" spans="1:21" x14ac:dyDescent="0.25">
      <c r="A47" t="s">
        <v>285</v>
      </c>
      <c r="B47" t="s">
        <v>289</v>
      </c>
      <c r="C47" t="s">
        <v>161</v>
      </c>
      <c r="D47" t="s">
        <v>91</v>
      </c>
      <c r="E47" t="s">
        <v>290</v>
      </c>
      <c r="F47" s="13">
        <v>46118</v>
      </c>
      <c r="H47" t="s">
        <v>140</v>
      </c>
      <c r="I47" s="13">
        <v>46113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t="s">
        <v>291</v>
      </c>
      <c r="Q47" t="s">
        <v>98</v>
      </c>
      <c r="R47" t="s">
        <v>135</v>
      </c>
      <c r="U47" t="s">
        <v>292</v>
      </c>
    </row>
    <row r="48" spans="1:21" x14ac:dyDescent="0.25">
      <c r="A48" t="s">
        <v>285</v>
      </c>
      <c r="B48" t="s">
        <v>293</v>
      </c>
      <c r="C48" t="s">
        <v>161</v>
      </c>
      <c r="D48" t="s">
        <v>91</v>
      </c>
      <c r="E48" t="s">
        <v>290</v>
      </c>
      <c r="F48" s="13">
        <v>46118</v>
      </c>
      <c r="H48" t="s">
        <v>140</v>
      </c>
      <c r="I48" s="13">
        <v>46113</v>
      </c>
      <c r="J48" s="4">
        <v>0</v>
      </c>
      <c r="K48" s="4">
        <v>-58693.41</v>
      </c>
      <c r="L48" s="4">
        <v>0</v>
      </c>
      <c r="M48" s="4">
        <v>0</v>
      </c>
      <c r="N48" s="4">
        <v>58693.41</v>
      </c>
      <c r="O48" s="4">
        <v>0</v>
      </c>
      <c r="P48" t="s">
        <v>294</v>
      </c>
      <c r="Q48" t="s">
        <v>98</v>
      </c>
      <c r="R48" t="s">
        <v>135</v>
      </c>
      <c r="U48" t="s">
        <v>292</v>
      </c>
    </row>
    <row r="49" spans="1:21" x14ac:dyDescent="0.25">
      <c r="A49" t="s">
        <v>285</v>
      </c>
      <c r="B49" t="s">
        <v>289</v>
      </c>
      <c r="C49" t="s">
        <v>161</v>
      </c>
      <c r="D49" t="s">
        <v>91</v>
      </c>
      <c r="E49" t="s">
        <v>295</v>
      </c>
      <c r="F49" s="13">
        <v>46125</v>
      </c>
      <c r="H49" t="s">
        <v>133</v>
      </c>
      <c r="I49" s="13">
        <v>46113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t="s">
        <v>296</v>
      </c>
      <c r="Q49" t="s">
        <v>98</v>
      </c>
      <c r="R49" t="s">
        <v>135</v>
      </c>
      <c r="U49" t="s">
        <v>297</v>
      </c>
    </row>
    <row r="50" spans="1:21" x14ac:dyDescent="0.25">
      <c r="A50" t="s">
        <v>285</v>
      </c>
      <c r="B50" t="s">
        <v>293</v>
      </c>
      <c r="C50" t="s">
        <v>161</v>
      </c>
      <c r="D50" t="s">
        <v>91</v>
      </c>
      <c r="E50" t="s">
        <v>295</v>
      </c>
      <c r="F50" s="13">
        <v>46125</v>
      </c>
      <c r="H50" t="s">
        <v>133</v>
      </c>
      <c r="I50" s="13">
        <v>46113</v>
      </c>
      <c r="J50" s="4">
        <v>0</v>
      </c>
      <c r="K50" s="4">
        <v>-8068.75</v>
      </c>
      <c r="L50" s="4">
        <v>0</v>
      </c>
      <c r="M50" s="4">
        <v>0</v>
      </c>
      <c r="N50" s="4">
        <v>8068.75</v>
      </c>
      <c r="O50" s="4">
        <v>0</v>
      </c>
      <c r="P50" t="s">
        <v>298</v>
      </c>
      <c r="Q50" t="s">
        <v>98</v>
      </c>
      <c r="R50" t="s">
        <v>135</v>
      </c>
      <c r="U50" t="s">
        <v>297</v>
      </c>
    </row>
    <row r="51" spans="1:21" x14ac:dyDescent="0.25">
      <c r="A51" t="s">
        <v>285</v>
      </c>
      <c r="B51" t="s">
        <v>289</v>
      </c>
      <c r="C51" t="s">
        <v>161</v>
      </c>
      <c r="D51" t="s">
        <v>91</v>
      </c>
      <c r="E51" t="s">
        <v>299</v>
      </c>
      <c r="F51" s="13">
        <v>46136</v>
      </c>
      <c r="H51" t="s">
        <v>140</v>
      </c>
      <c r="I51" s="13">
        <v>46113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t="s">
        <v>300</v>
      </c>
      <c r="Q51" t="s">
        <v>98</v>
      </c>
      <c r="R51" t="s">
        <v>135</v>
      </c>
      <c r="U51" t="s">
        <v>301</v>
      </c>
    </row>
    <row r="52" spans="1:21" x14ac:dyDescent="0.25">
      <c r="A52" t="s">
        <v>285</v>
      </c>
      <c r="B52" t="s">
        <v>293</v>
      </c>
      <c r="C52" t="s">
        <v>161</v>
      </c>
      <c r="D52" t="s">
        <v>91</v>
      </c>
      <c r="E52" t="s">
        <v>299</v>
      </c>
      <c r="F52" s="13">
        <v>46136</v>
      </c>
      <c r="H52" t="s">
        <v>140</v>
      </c>
      <c r="I52" s="13">
        <v>46113</v>
      </c>
      <c r="J52" s="4">
        <v>0</v>
      </c>
      <c r="K52" s="4">
        <v>-32550.73</v>
      </c>
      <c r="L52" s="4">
        <v>0</v>
      </c>
      <c r="M52" s="4">
        <v>0</v>
      </c>
      <c r="N52" s="4">
        <v>32550.73</v>
      </c>
      <c r="O52" s="4">
        <v>0</v>
      </c>
      <c r="P52" t="s">
        <v>302</v>
      </c>
      <c r="Q52" t="s">
        <v>98</v>
      </c>
      <c r="R52" t="s">
        <v>135</v>
      </c>
      <c r="U52" t="s">
        <v>301</v>
      </c>
    </row>
    <row r="53" spans="1:21" x14ac:dyDescent="0.25">
      <c r="A53" t="s">
        <v>285</v>
      </c>
      <c r="B53" t="s">
        <v>303</v>
      </c>
      <c r="C53" t="s">
        <v>161</v>
      </c>
      <c r="D53" t="s">
        <v>91</v>
      </c>
      <c r="E53" t="s">
        <v>304</v>
      </c>
      <c r="F53" s="13">
        <v>46194</v>
      </c>
      <c r="H53" t="s">
        <v>151</v>
      </c>
      <c r="I53" s="13">
        <v>46174</v>
      </c>
      <c r="J53" s="4">
        <v>90000</v>
      </c>
      <c r="K53" s="4">
        <v>0</v>
      </c>
      <c r="L53" s="4">
        <v>8100</v>
      </c>
      <c r="M53" s="4">
        <v>8100</v>
      </c>
      <c r="N53" s="4">
        <v>0</v>
      </c>
      <c r="O53" s="4">
        <v>16200</v>
      </c>
      <c r="P53" t="s">
        <v>305</v>
      </c>
      <c r="Q53" t="s">
        <v>170</v>
      </c>
      <c r="R53" t="s">
        <v>135</v>
      </c>
      <c r="U53" t="s">
        <v>306</v>
      </c>
    </row>
    <row r="54" spans="1:21" x14ac:dyDescent="0.25">
      <c r="A54" t="s">
        <v>285</v>
      </c>
      <c r="B54" t="s">
        <v>307</v>
      </c>
      <c r="C54" t="s">
        <v>161</v>
      </c>
      <c r="D54" t="s">
        <v>91</v>
      </c>
      <c r="F54" s="13"/>
      <c r="I54" s="13"/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156304.59</v>
      </c>
      <c r="P54" t="s">
        <v>308</v>
      </c>
      <c r="Q54" t="s">
        <v>170</v>
      </c>
      <c r="R54" t="s">
        <v>135</v>
      </c>
      <c r="U54" t="s">
        <v>309</v>
      </c>
    </row>
    <row r="55" spans="1:21" x14ac:dyDescent="0.25">
      <c r="A55" t="s">
        <v>285</v>
      </c>
      <c r="B55" t="s">
        <v>310</v>
      </c>
      <c r="C55" t="s">
        <v>311</v>
      </c>
      <c r="D55" t="s">
        <v>91</v>
      </c>
      <c r="E55" t="s">
        <v>312</v>
      </c>
      <c r="F55" s="13">
        <v>46160</v>
      </c>
      <c r="H55" t="s">
        <v>313</v>
      </c>
      <c r="I55" s="13">
        <v>46143</v>
      </c>
      <c r="J55" s="4">
        <v>250000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t="s">
        <v>314</v>
      </c>
      <c r="Q55" t="s">
        <v>315</v>
      </c>
      <c r="R55" t="s">
        <v>135</v>
      </c>
      <c r="U55" t="s">
        <v>316</v>
      </c>
    </row>
    <row r="56" spans="1:21" x14ac:dyDescent="0.25">
      <c r="A56" t="s">
        <v>317</v>
      </c>
      <c r="B56" t="s">
        <v>318</v>
      </c>
      <c r="C56" t="s">
        <v>97</v>
      </c>
      <c r="D56" t="s">
        <v>91</v>
      </c>
      <c r="E56" t="s">
        <v>272</v>
      </c>
      <c r="F56" s="13">
        <v>46154</v>
      </c>
      <c r="I56" s="13"/>
      <c r="J56" s="4">
        <v>850000</v>
      </c>
      <c r="K56" s="4">
        <v>153000</v>
      </c>
      <c r="L56" s="4">
        <v>0</v>
      </c>
      <c r="M56" s="4">
        <v>0</v>
      </c>
      <c r="N56" s="4">
        <v>0</v>
      </c>
      <c r="O56" s="4">
        <v>153000</v>
      </c>
      <c r="P56" t="s">
        <v>319</v>
      </c>
      <c r="Q56" t="s">
        <v>170</v>
      </c>
      <c r="R56" t="s">
        <v>135</v>
      </c>
      <c r="U56" t="s">
        <v>320</v>
      </c>
    </row>
    <row r="57" spans="1:21" x14ac:dyDescent="0.25">
      <c r="A57" t="s">
        <v>317</v>
      </c>
      <c r="B57" t="s">
        <v>318</v>
      </c>
      <c r="C57" t="s">
        <v>97</v>
      </c>
      <c r="D57" t="s">
        <v>91</v>
      </c>
      <c r="E57" t="s">
        <v>275</v>
      </c>
      <c r="F57" s="13">
        <v>46155</v>
      </c>
      <c r="I57" s="13"/>
      <c r="J57" s="4">
        <v>975000</v>
      </c>
      <c r="K57" s="4">
        <v>175500</v>
      </c>
      <c r="L57" s="4">
        <v>0</v>
      </c>
      <c r="M57" s="4">
        <v>0</v>
      </c>
      <c r="N57" s="4">
        <v>0</v>
      </c>
      <c r="O57" s="4">
        <v>175500</v>
      </c>
      <c r="P57" t="s">
        <v>321</v>
      </c>
      <c r="Q57" t="s">
        <v>170</v>
      </c>
      <c r="R57" t="s">
        <v>135</v>
      </c>
      <c r="U57" t="s">
        <v>322</v>
      </c>
    </row>
    <row r="58" spans="1:21" x14ac:dyDescent="0.25">
      <c r="A58" t="s">
        <v>317</v>
      </c>
      <c r="B58" t="s">
        <v>318</v>
      </c>
      <c r="C58" t="s">
        <v>97</v>
      </c>
      <c r="D58" t="s">
        <v>91</v>
      </c>
      <c r="E58" t="s">
        <v>278</v>
      </c>
      <c r="F58" s="13">
        <v>46187</v>
      </c>
      <c r="I58" s="13"/>
      <c r="J58" s="4">
        <v>1100000</v>
      </c>
      <c r="K58" s="4">
        <v>198000</v>
      </c>
      <c r="L58" s="4">
        <v>0</v>
      </c>
      <c r="M58" s="4">
        <v>0</v>
      </c>
      <c r="N58" s="4">
        <v>0</v>
      </c>
      <c r="O58" s="4">
        <v>198000</v>
      </c>
      <c r="P58" t="s">
        <v>323</v>
      </c>
      <c r="Q58" t="s">
        <v>170</v>
      </c>
      <c r="R58" t="s">
        <v>135</v>
      </c>
      <c r="U58" t="s">
        <v>324</v>
      </c>
    </row>
    <row r="59" spans="1:21" x14ac:dyDescent="0.25">
      <c r="A59" t="s">
        <v>317</v>
      </c>
      <c r="B59" t="s">
        <v>325</v>
      </c>
      <c r="C59" t="s">
        <v>97</v>
      </c>
      <c r="D59" t="s">
        <v>91</v>
      </c>
      <c r="E59" t="s">
        <v>326</v>
      </c>
      <c r="F59" s="13">
        <v>46193</v>
      </c>
      <c r="I59" s="13"/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t="s">
        <v>327</v>
      </c>
      <c r="Q59" t="s">
        <v>93</v>
      </c>
      <c r="R59" t="s">
        <v>135</v>
      </c>
      <c r="U59" t="s">
        <v>328</v>
      </c>
    </row>
    <row r="60" spans="1:21" x14ac:dyDescent="0.25">
      <c r="A60" t="s">
        <v>317</v>
      </c>
      <c r="B60" t="s">
        <v>329</v>
      </c>
      <c r="C60" t="s">
        <v>97</v>
      </c>
      <c r="D60" t="s">
        <v>91</v>
      </c>
      <c r="F60" s="13"/>
      <c r="I60" s="13"/>
      <c r="J60" s="4">
        <v>2925000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t="s">
        <v>330</v>
      </c>
      <c r="Q60" t="s">
        <v>93</v>
      </c>
      <c r="R60" t="s">
        <v>236</v>
      </c>
      <c r="S60">
        <v>5</v>
      </c>
      <c r="U60" t="s">
        <v>331</v>
      </c>
    </row>
    <row r="61" spans="1:21" x14ac:dyDescent="0.25">
      <c r="A61" t="s">
        <v>317</v>
      </c>
      <c r="B61" t="s">
        <v>332</v>
      </c>
      <c r="C61" t="s">
        <v>161</v>
      </c>
      <c r="D61" t="s">
        <v>91</v>
      </c>
      <c r="E61" t="s">
        <v>326</v>
      </c>
      <c r="F61" s="13">
        <v>46193</v>
      </c>
      <c r="I61" s="13"/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t="s">
        <v>333</v>
      </c>
      <c r="Q61" t="s">
        <v>170</v>
      </c>
      <c r="R61" t="s">
        <v>135</v>
      </c>
      <c r="U61" t="s">
        <v>328</v>
      </c>
    </row>
    <row r="62" spans="1:21" x14ac:dyDescent="0.25">
      <c r="A62" t="s">
        <v>334</v>
      </c>
      <c r="B62" t="s">
        <v>335</v>
      </c>
      <c r="C62" t="s">
        <v>92</v>
      </c>
      <c r="D62" t="s">
        <v>91</v>
      </c>
      <c r="E62" t="s">
        <v>336</v>
      </c>
      <c r="F62" s="13">
        <v>46125</v>
      </c>
      <c r="I62" s="13"/>
      <c r="J62" s="4">
        <v>0</v>
      </c>
      <c r="K62" s="4">
        <v>877051</v>
      </c>
      <c r="L62" s="4">
        <v>0</v>
      </c>
      <c r="M62" s="4">
        <v>0</v>
      </c>
      <c r="N62" s="4">
        <v>0</v>
      </c>
      <c r="O62" s="4">
        <v>877051</v>
      </c>
      <c r="P62" t="s">
        <v>337</v>
      </c>
      <c r="Q62" t="s">
        <v>93</v>
      </c>
      <c r="R62" t="s">
        <v>236</v>
      </c>
      <c r="S62">
        <v>1</v>
      </c>
      <c r="U62" t="s">
        <v>338</v>
      </c>
    </row>
    <row r="63" spans="1:21" x14ac:dyDescent="0.25">
      <c r="A63" t="s">
        <v>334</v>
      </c>
      <c r="B63" t="s">
        <v>339</v>
      </c>
      <c r="C63" t="s">
        <v>161</v>
      </c>
      <c r="D63" t="s">
        <v>91</v>
      </c>
      <c r="E63" t="s">
        <v>340</v>
      </c>
      <c r="F63" s="13">
        <v>46164</v>
      </c>
      <c r="I63" s="13"/>
      <c r="J63" s="4">
        <v>0</v>
      </c>
      <c r="K63" s="4">
        <v>164340</v>
      </c>
      <c r="L63" s="4">
        <v>0</v>
      </c>
      <c r="M63" s="4">
        <v>0</v>
      </c>
      <c r="N63" s="4">
        <v>0</v>
      </c>
      <c r="O63" s="4">
        <v>164340</v>
      </c>
      <c r="P63" t="s">
        <v>341</v>
      </c>
      <c r="Q63" t="s">
        <v>170</v>
      </c>
      <c r="R63" t="s">
        <v>135</v>
      </c>
      <c r="U63" t="s">
        <v>342</v>
      </c>
    </row>
    <row r="64" spans="1:21" x14ac:dyDescent="0.25">
      <c r="A64" t="s">
        <v>334</v>
      </c>
      <c r="B64" t="s">
        <v>343</v>
      </c>
      <c r="C64" t="s">
        <v>104</v>
      </c>
      <c r="D64" t="s">
        <v>91</v>
      </c>
      <c r="E64" t="s">
        <v>340</v>
      </c>
      <c r="F64" s="13">
        <v>46164</v>
      </c>
      <c r="I64" s="13"/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t="s">
        <v>344</v>
      </c>
      <c r="Q64" t="s">
        <v>105</v>
      </c>
      <c r="R64" t="s">
        <v>135</v>
      </c>
      <c r="U64" t="s">
        <v>342</v>
      </c>
    </row>
    <row r="65" spans="1:21" x14ac:dyDescent="0.25">
      <c r="A65" t="s">
        <v>345</v>
      </c>
      <c r="B65" t="s">
        <v>346</v>
      </c>
      <c r="C65" t="s">
        <v>97</v>
      </c>
      <c r="E65" t="s">
        <v>347</v>
      </c>
      <c r="F65" s="13">
        <v>46185</v>
      </c>
      <c r="I65" s="13">
        <v>46174</v>
      </c>
      <c r="J65" s="4">
        <v>2100000</v>
      </c>
      <c r="K65" s="4">
        <v>0</v>
      </c>
      <c r="L65" s="4">
        <v>0</v>
      </c>
      <c r="M65" s="4">
        <v>0</v>
      </c>
      <c r="N65" s="4">
        <v>0</v>
      </c>
      <c r="O65" s="4">
        <v>378000</v>
      </c>
      <c r="P65" t="s">
        <v>348</v>
      </c>
      <c r="Q65" t="s">
        <v>98</v>
      </c>
      <c r="R65" t="s">
        <v>236</v>
      </c>
      <c r="S65">
        <v>6</v>
      </c>
      <c r="U65" t="s">
        <v>349</v>
      </c>
    </row>
    <row r="66" spans="1:21" x14ac:dyDescent="0.25">
      <c r="A66" t="s">
        <v>350</v>
      </c>
      <c r="B66" t="s">
        <v>351</v>
      </c>
      <c r="C66" t="s">
        <v>104</v>
      </c>
      <c r="F66" s="13"/>
      <c r="I66" s="13"/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2475430</v>
      </c>
      <c r="P66" t="s">
        <v>352</v>
      </c>
      <c r="Q66" t="s">
        <v>105</v>
      </c>
      <c r="R66" t="s">
        <v>236</v>
      </c>
      <c r="S66">
        <v>4</v>
      </c>
      <c r="U66" t="s">
        <v>353</v>
      </c>
    </row>
    <row r="67" spans="1:21" x14ac:dyDescent="0.25">
      <c r="A67" t="s">
        <v>354</v>
      </c>
      <c r="B67" t="s">
        <v>355</v>
      </c>
      <c r="C67" t="s">
        <v>97</v>
      </c>
      <c r="F67" s="13"/>
      <c r="I67" s="13"/>
      <c r="J67" s="4">
        <v>806742.85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t="s">
        <v>356</v>
      </c>
      <c r="Q67" t="s">
        <v>170</v>
      </c>
      <c r="R67" t="s">
        <v>135</v>
      </c>
      <c r="U67" t="s">
        <v>357</v>
      </c>
    </row>
    <row r="68" spans="1:21" x14ac:dyDescent="0.25">
      <c r="A68" t="s">
        <v>354</v>
      </c>
      <c r="B68" t="s">
        <v>358</v>
      </c>
      <c r="C68" t="s">
        <v>161</v>
      </c>
      <c r="F68" s="13"/>
      <c r="I68" s="13"/>
      <c r="J68" s="4">
        <v>-24865.62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t="s">
        <v>359</v>
      </c>
      <c r="Q68" t="s">
        <v>170</v>
      </c>
      <c r="R68" t="s">
        <v>135</v>
      </c>
      <c r="U68" t="s">
        <v>357</v>
      </c>
    </row>
    <row r="69" spans="1:15" x14ac:dyDescent="0.25">
      <c r="A69" s="8" t="s">
        <v>111</v>
      </c>
      <c r="J69" s="9">
        <f>SUBTOTAL(9,J5:J68)</f>
      </c>
      <c r="K69" s="9">
        <f>SUBTOTAL(9,K5:K68)</f>
      </c>
      <c r="L69" s="9">
        <f>SUBTOTAL(9,L5:L68)</f>
      </c>
      <c r="M69" s="9">
        <f>SUBTOTAL(9,M5:M68)</f>
      </c>
      <c r="N69" s="9">
        <f>SUBTOTAL(9,N5:N68)</f>
      </c>
      <c r="O69" s="9">
        <f>SUBTOTAL(9,O5:O68)</f>
      </c>
    </row>
  </sheetData>
  <autoFilter ref="A4:U68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&amp;LHIRA Associates | Your GST Compliance Partner&amp;RPage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11" customWidth="1"/>
    <col min="4" max="4" width="18" customWidth="1"/>
    <col min="5" max="5" width="20" customWidth="1"/>
    <col min="6" max="6" width="12" customWidth="1"/>
    <col min="7" max="7" width="26" customWidth="1"/>
    <col min="8" max="8" width="18" customWidth="1"/>
    <col min="9" max="9" width="11" customWidth="1"/>
    <col min="10" max="15" width="16" style="4" customWidth="1"/>
    <col min="16" max="16" width="80" customWidth="1"/>
    <col min="17" max="17" width="20" customWidth="1"/>
    <col min="18" max="18" width="14" customWidth="1"/>
    <col min="19" max="19" width="10" customWidth="1"/>
    <col min="20" max="21" width="40" customWidth="1"/>
  </cols>
  <sheetData>
    <row r="1" spans="1:15" x14ac:dyDescent="0.25">
      <c r="A1" s="5" t="s">
        <v>360</v>
      </c>
      <c r="J1" s="4"/>
      <c r="K1" s="4"/>
      <c r="L1" s="4"/>
      <c r="M1" s="4"/>
      <c r="N1" s="4"/>
      <c r="O1" s="4"/>
    </row>
    <row r="2" spans="1:15" x14ac:dyDescent="0.25">
      <c r="A2" s="10" t="s">
        <v>1</v>
      </c>
      <c r="J2" s="4"/>
      <c r="K2" s="4"/>
      <c r="L2" s="4"/>
      <c r="M2" s="4"/>
      <c r="N2" s="4"/>
      <c r="O2" s="4"/>
    </row>
    <row r="4" ht="30" customHeight="1" spans="1:21" x14ac:dyDescent="0.25">
      <c r="A4" s="11" t="s">
        <v>112</v>
      </c>
      <c r="B4" s="11" t="s">
        <v>113</v>
      </c>
      <c r="C4" s="11" t="s">
        <v>81</v>
      </c>
      <c r="D4" s="11" t="s">
        <v>80</v>
      </c>
      <c r="E4" s="11" t="s">
        <v>114</v>
      </c>
      <c r="F4" s="11" t="s">
        <v>115</v>
      </c>
      <c r="G4" s="11" t="s">
        <v>116</v>
      </c>
      <c r="H4" s="11" t="s">
        <v>117</v>
      </c>
      <c r="I4" s="11" t="s">
        <v>118</v>
      </c>
      <c r="J4" s="12" t="s">
        <v>119</v>
      </c>
      <c r="K4" s="12" t="s">
        <v>120</v>
      </c>
      <c r="L4" s="12" t="s">
        <v>121</v>
      </c>
      <c r="M4" s="12" t="s">
        <v>122</v>
      </c>
      <c r="N4" s="12" t="s">
        <v>123</v>
      </c>
      <c r="O4" s="12" t="s">
        <v>124</v>
      </c>
      <c r="P4" s="11" t="s">
        <v>125</v>
      </c>
      <c r="Q4" s="11" t="s">
        <v>82</v>
      </c>
      <c r="R4" s="11" t="s">
        <v>87</v>
      </c>
      <c r="S4" s="11" t="s">
        <v>126</v>
      </c>
      <c r="T4" s="11" t="s">
        <v>127</v>
      </c>
      <c r="U4" s="11" t="s">
        <v>128</v>
      </c>
    </row>
    <row r="5" spans="1:21" x14ac:dyDescent="0.25">
      <c r="A5" t="s">
        <v>181</v>
      </c>
      <c r="B5" t="s">
        <v>182</v>
      </c>
      <c r="C5" t="s">
        <v>97</v>
      </c>
      <c r="D5" t="s">
        <v>91</v>
      </c>
      <c r="E5" t="s">
        <v>183</v>
      </c>
      <c r="F5" s="13">
        <v>45422</v>
      </c>
      <c r="G5" t="s">
        <v>184</v>
      </c>
      <c r="H5" t="s">
        <v>185</v>
      </c>
      <c r="I5" s="13">
        <v>45413</v>
      </c>
      <c r="J5" s="4">
        <v>10000</v>
      </c>
      <c r="K5" s="4">
        <v>0</v>
      </c>
      <c r="L5" s="4">
        <v>900</v>
      </c>
      <c r="M5" s="4">
        <v>900</v>
      </c>
      <c r="N5" s="4">
        <v>0</v>
      </c>
      <c r="O5" s="4">
        <v>1800</v>
      </c>
      <c r="P5" t="s">
        <v>186</v>
      </c>
      <c r="Q5" t="s">
        <v>98</v>
      </c>
      <c r="R5" t="s">
        <v>135</v>
      </c>
      <c r="U5" t="s">
        <v>187</v>
      </c>
    </row>
    <row r="6" spans="1:21" x14ac:dyDescent="0.25">
      <c r="A6" t="s">
        <v>181</v>
      </c>
      <c r="B6" t="s">
        <v>188</v>
      </c>
      <c r="C6" t="s">
        <v>97</v>
      </c>
      <c r="D6" t="s">
        <v>91</v>
      </c>
      <c r="E6" t="s">
        <v>189</v>
      </c>
      <c r="F6" s="13">
        <v>46130</v>
      </c>
      <c r="G6" t="s">
        <v>190</v>
      </c>
      <c r="H6" t="s">
        <v>191</v>
      </c>
      <c r="I6" s="13">
        <v>46113</v>
      </c>
      <c r="J6" s="4">
        <v>94306.86</v>
      </c>
      <c r="K6" s="4">
        <v>0</v>
      </c>
      <c r="L6" s="4">
        <v>8487.62</v>
      </c>
      <c r="M6" s="4">
        <v>8487.62</v>
      </c>
      <c r="N6" s="4">
        <v>0</v>
      </c>
      <c r="O6" s="4">
        <v>16975.24</v>
      </c>
      <c r="P6" t="s">
        <v>192</v>
      </c>
      <c r="Q6" t="s">
        <v>98</v>
      </c>
      <c r="R6" t="s">
        <v>135</v>
      </c>
      <c r="U6" t="s">
        <v>193</v>
      </c>
    </row>
    <row r="7" spans="1:21" x14ac:dyDescent="0.25">
      <c r="A7" t="s">
        <v>181</v>
      </c>
      <c r="B7" t="s">
        <v>188</v>
      </c>
      <c r="C7" t="s">
        <v>97</v>
      </c>
      <c r="D7" t="s">
        <v>91</v>
      </c>
      <c r="E7" t="s">
        <v>194</v>
      </c>
      <c r="F7" s="13">
        <v>46145</v>
      </c>
      <c r="G7" t="s">
        <v>195</v>
      </c>
      <c r="H7" t="s">
        <v>196</v>
      </c>
      <c r="I7" s="13">
        <v>46143</v>
      </c>
      <c r="J7" s="4">
        <v>60366.2</v>
      </c>
      <c r="K7" s="4">
        <v>10865.92</v>
      </c>
      <c r="L7" s="4">
        <v>0</v>
      </c>
      <c r="M7" s="4">
        <v>0</v>
      </c>
      <c r="N7" s="4">
        <v>0</v>
      </c>
      <c r="O7" s="4">
        <v>10865.92</v>
      </c>
      <c r="P7" t="s">
        <v>197</v>
      </c>
      <c r="Q7" t="s">
        <v>98</v>
      </c>
      <c r="R7" t="s">
        <v>135</v>
      </c>
      <c r="U7" t="s">
        <v>198</v>
      </c>
    </row>
    <row r="8" spans="1:21" x14ac:dyDescent="0.25">
      <c r="A8" t="s">
        <v>181</v>
      </c>
      <c r="B8" t="s">
        <v>199</v>
      </c>
      <c r="C8" t="s">
        <v>97</v>
      </c>
      <c r="D8" t="s">
        <v>91</v>
      </c>
      <c r="E8" t="s">
        <v>200</v>
      </c>
      <c r="F8" s="13">
        <v>46159</v>
      </c>
      <c r="G8" t="s">
        <v>195</v>
      </c>
      <c r="H8" t="s">
        <v>196</v>
      </c>
      <c r="I8" s="13">
        <v>46143</v>
      </c>
      <c r="J8" s="4">
        <v>0</v>
      </c>
      <c r="K8" s="4">
        <v>7895.02</v>
      </c>
      <c r="L8" s="4">
        <v>0</v>
      </c>
      <c r="M8" s="4">
        <v>0</v>
      </c>
      <c r="N8" s="4">
        <v>0</v>
      </c>
      <c r="O8" s="4">
        <v>7895.02</v>
      </c>
      <c r="P8" t="s">
        <v>201</v>
      </c>
      <c r="Q8" t="s">
        <v>98</v>
      </c>
      <c r="R8" t="s">
        <v>135</v>
      </c>
      <c r="U8" t="s">
        <v>202</v>
      </c>
    </row>
    <row r="9" spans="1:21" x14ac:dyDescent="0.25">
      <c r="A9" t="s">
        <v>181</v>
      </c>
      <c r="B9" t="s">
        <v>188</v>
      </c>
      <c r="C9" t="s">
        <v>97</v>
      </c>
      <c r="D9" t="s">
        <v>91</v>
      </c>
      <c r="E9" t="s">
        <v>203</v>
      </c>
      <c r="F9" s="13">
        <v>46183</v>
      </c>
      <c r="G9" t="s">
        <v>204</v>
      </c>
      <c r="H9" t="s">
        <v>205</v>
      </c>
      <c r="I9" s="13">
        <v>46174</v>
      </c>
      <c r="J9" s="4">
        <v>39328.99</v>
      </c>
      <c r="K9" s="4">
        <v>0</v>
      </c>
      <c r="L9" s="4">
        <v>3539.61</v>
      </c>
      <c r="M9" s="4">
        <v>3539.61</v>
      </c>
      <c r="N9" s="4">
        <v>0</v>
      </c>
      <c r="O9" s="4">
        <v>7079.22</v>
      </c>
      <c r="P9" t="s">
        <v>206</v>
      </c>
      <c r="Q9" t="s">
        <v>98</v>
      </c>
      <c r="R9" t="s">
        <v>135</v>
      </c>
      <c r="U9" t="s">
        <v>207</v>
      </c>
    </row>
    <row r="10" spans="1:21" x14ac:dyDescent="0.25">
      <c r="A10" t="s">
        <v>181</v>
      </c>
      <c r="B10" t="s">
        <v>208</v>
      </c>
      <c r="C10" t="s">
        <v>97</v>
      </c>
      <c r="D10" t="s">
        <v>91</v>
      </c>
      <c r="F10" s="13"/>
      <c r="I10" s="13">
        <v>46174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1679.18</v>
      </c>
      <c r="P10" t="s">
        <v>209</v>
      </c>
      <c r="Q10" t="s">
        <v>98</v>
      </c>
      <c r="R10" t="s">
        <v>135</v>
      </c>
      <c r="U10" t="s">
        <v>210</v>
      </c>
    </row>
    <row r="11" spans="1:21" x14ac:dyDescent="0.25">
      <c r="A11" t="s">
        <v>181</v>
      </c>
      <c r="B11" t="s">
        <v>208</v>
      </c>
      <c r="C11" t="s">
        <v>97</v>
      </c>
      <c r="D11" t="s">
        <v>91</v>
      </c>
      <c r="F11" s="13"/>
      <c r="I11" s="13">
        <v>46113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894026.22</v>
      </c>
      <c r="P11" t="s">
        <v>211</v>
      </c>
      <c r="Q11" t="s">
        <v>98</v>
      </c>
      <c r="R11" t="s">
        <v>135</v>
      </c>
      <c r="U11" t="s">
        <v>212</v>
      </c>
    </row>
    <row r="12" spans="1:21" x14ac:dyDescent="0.25">
      <c r="A12" t="s">
        <v>181</v>
      </c>
      <c r="B12" t="s">
        <v>208</v>
      </c>
      <c r="C12" t="s">
        <v>97</v>
      </c>
      <c r="D12" t="s">
        <v>91</v>
      </c>
      <c r="F12" s="13"/>
      <c r="I12" s="13">
        <v>46143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9760.89</v>
      </c>
      <c r="P12" t="s">
        <v>213</v>
      </c>
      <c r="Q12" t="s">
        <v>98</v>
      </c>
      <c r="R12" t="s">
        <v>135</v>
      </c>
      <c r="U12" t="s">
        <v>214</v>
      </c>
    </row>
    <row r="13" spans="1:21" x14ac:dyDescent="0.25">
      <c r="A13" t="s">
        <v>181</v>
      </c>
      <c r="B13" t="s">
        <v>215</v>
      </c>
      <c r="C13" t="s">
        <v>161</v>
      </c>
      <c r="D13" t="s">
        <v>91</v>
      </c>
      <c r="E13" t="s">
        <v>216</v>
      </c>
      <c r="F13" s="13">
        <v>46203</v>
      </c>
      <c r="G13" t="s">
        <v>217</v>
      </c>
      <c r="H13" t="s">
        <v>218</v>
      </c>
      <c r="I13" s="13">
        <v>46174</v>
      </c>
      <c r="J13" s="4">
        <v>0</v>
      </c>
      <c r="K13" s="4">
        <v>0</v>
      </c>
      <c r="L13" s="4">
        <v>18000</v>
      </c>
      <c r="M13" s="4">
        <v>18000</v>
      </c>
      <c r="N13" s="4">
        <v>0</v>
      </c>
      <c r="O13" s="4">
        <v>36000</v>
      </c>
      <c r="P13" t="s">
        <v>219</v>
      </c>
      <c r="Q13" t="s">
        <v>98</v>
      </c>
      <c r="R13" t="s">
        <v>135</v>
      </c>
      <c r="U13" t="s">
        <v>220</v>
      </c>
    </row>
    <row r="14" spans="1:21" x14ac:dyDescent="0.25">
      <c r="A14" t="s">
        <v>181</v>
      </c>
      <c r="B14" t="s">
        <v>215</v>
      </c>
      <c r="C14" t="s">
        <v>161</v>
      </c>
      <c r="E14" t="s">
        <v>216</v>
      </c>
      <c r="F14" s="13">
        <v>46203</v>
      </c>
      <c r="G14" t="s">
        <v>217</v>
      </c>
      <c r="H14" t="s">
        <v>218</v>
      </c>
      <c r="I14" s="13">
        <v>46174</v>
      </c>
      <c r="J14" s="4">
        <v>0</v>
      </c>
      <c r="K14" s="4">
        <v>0</v>
      </c>
      <c r="L14" s="4">
        <v>18000</v>
      </c>
      <c r="M14" s="4">
        <v>18000</v>
      </c>
      <c r="N14" s="4">
        <v>0</v>
      </c>
      <c r="O14" s="4">
        <v>36000</v>
      </c>
      <c r="P14" t="s">
        <v>219</v>
      </c>
      <c r="Q14" t="s">
        <v>98</v>
      </c>
      <c r="R14" t="s">
        <v>135</v>
      </c>
      <c r="U14" t="s">
        <v>220</v>
      </c>
    </row>
    <row r="15" spans="1:21" x14ac:dyDescent="0.25">
      <c r="A15" t="s">
        <v>181</v>
      </c>
      <c r="B15" t="s">
        <v>221</v>
      </c>
      <c r="C15" t="s">
        <v>161</v>
      </c>
      <c r="F15" s="13"/>
      <c r="I15" s="13"/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12500</v>
      </c>
      <c r="P15" t="s">
        <v>222</v>
      </c>
      <c r="Q15" t="s">
        <v>170</v>
      </c>
      <c r="R15" t="s">
        <v>135</v>
      </c>
      <c r="U15" t="s">
        <v>223</v>
      </c>
    </row>
    <row r="16" spans="1:21" x14ac:dyDescent="0.25">
      <c r="A16" t="s">
        <v>181</v>
      </c>
      <c r="B16" t="s">
        <v>224</v>
      </c>
      <c r="C16" t="s">
        <v>104</v>
      </c>
      <c r="D16" t="s">
        <v>91</v>
      </c>
      <c r="E16" t="s">
        <v>225</v>
      </c>
      <c r="F16" s="13">
        <v>46156</v>
      </c>
      <c r="G16" t="s">
        <v>190</v>
      </c>
      <c r="H16" t="s">
        <v>191</v>
      </c>
      <c r="I16" s="13">
        <v>46143</v>
      </c>
      <c r="J16" s="4">
        <v>50000</v>
      </c>
      <c r="K16" s="4">
        <v>0</v>
      </c>
      <c r="L16" s="4">
        <v>4500</v>
      </c>
      <c r="M16" s="4">
        <v>4500</v>
      </c>
      <c r="N16" s="4">
        <v>0</v>
      </c>
      <c r="O16" s="4">
        <v>9000</v>
      </c>
      <c r="P16" t="s">
        <v>226</v>
      </c>
      <c r="Q16" t="s">
        <v>105</v>
      </c>
      <c r="R16" t="s">
        <v>135</v>
      </c>
      <c r="U16" t="s">
        <v>227</v>
      </c>
    </row>
    <row r="17" spans="1:21" x14ac:dyDescent="0.25">
      <c r="A17" t="s">
        <v>181</v>
      </c>
      <c r="B17" t="s">
        <v>224</v>
      </c>
      <c r="C17" t="s">
        <v>104</v>
      </c>
      <c r="D17" t="s">
        <v>91</v>
      </c>
      <c r="E17" t="s">
        <v>228</v>
      </c>
      <c r="F17" s="13">
        <v>46182</v>
      </c>
      <c r="G17" t="s">
        <v>195</v>
      </c>
      <c r="H17" t="s">
        <v>196</v>
      </c>
      <c r="I17" s="13">
        <v>46174</v>
      </c>
      <c r="J17" s="4">
        <v>30000</v>
      </c>
      <c r="K17" s="4">
        <v>5400</v>
      </c>
      <c r="L17" s="4">
        <v>0</v>
      </c>
      <c r="M17" s="4">
        <v>0</v>
      </c>
      <c r="N17" s="4">
        <v>0</v>
      </c>
      <c r="O17" s="4">
        <v>5400</v>
      </c>
      <c r="P17" t="s">
        <v>229</v>
      </c>
      <c r="Q17" t="s">
        <v>105</v>
      </c>
      <c r="R17" t="s">
        <v>135</v>
      </c>
      <c r="U17" t="s">
        <v>230</v>
      </c>
    </row>
    <row r="18" spans="1:15" x14ac:dyDescent="0.25">
      <c r="A18" s="8" t="s">
        <v>111</v>
      </c>
      <c r="J18" s="9">
        <f>SUBTOTAL(9,J5:J17)</f>
      </c>
      <c r="K18" s="9">
        <f>SUBTOTAL(9,K5:K17)</f>
      </c>
      <c r="L18" s="9">
        <f>SUBTOTAL(9,L5:L17)</f>
      </c>
      <c r="M18" s="9">
        <f>SUBTOTAL(9,M5:M17)</f>
      </c>
      <c r="N18" s="9">
        <f>SUBTOTAL(9,N5:N17)</f>
      </c>
      <c r="O18" s="9">
        <f>SUBTOTAL(9,O5:O17)</f>
      </c>
    </row>
  </sheetData>
  <autoFilter ref="A4:U17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&amp;LHIRA Associates | Your GST Compliance Partner&amp;RPage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11" customWidth="1"/>
    <col min="4" max="4" width="18" customWidth="1"/>
    <col min="5" max="5" width="20" customWidth="1"/>
    <col min="6" max="6" width="12" customWidth="1"/>
    <col min="7" max="7" width="26" customWidth="1"/>
    <col min="8" max="8" width="18" customWidth="1"/>
    <col min="9" max="9" width="11" customWidth="1"/>
    <col min="10" max="15" width="16" style="4" customWidth="1"/>
    <col min="16" max="16" width="80" customWidth="1"/>
    <col min="17" max="17" width="20" customWidth="1"/>
    <col min="18" max="18" width="14" customWidth="1"/>
    <col min="19" max="19" width="10" customWidth="1"/>
    <col min="20" max="21" width="40" customWidth="1"/>
  </cols>
  <sheetData>
    <row r="1" spans="1:15" x14ac:dyDescent="0.25">
      <c r="A1" s="5" t="s">
        <v>361</v>
      </c>
      <c r="J1" s="4"/>
      <c r="K1" s="4"/>
      <c r="L1" s="4"/>
      <c r="M1" s="4"/>
      <c r="N1" s="4"/>
      <c r="O1" s="4"/>
    </row>
    <row r="2" spans="1:15" x14ac:dyDescent="0.25">
      <c r="A2" s="10" t="s">
        <v>362</v>
      </c>
      <c r="J2" s="4"/>
      <c r="K2" s="4"/>
      <c r="L2" s="4"/>
      <c r="M2" s="4"/>
      <c r="N2" s="4"/>
      <c r="O2" s="4"/>
    </row>
    <row r="4" ht="30" customHeight="1" spans="1:21" x14ac:dyDescent="0.25">
      <c r="A4" s="11" t="s">
        <v>112</v>
      </c>
      <c r="B4" s="11" t="s">
        <v>113</v>
      </c>
      <c r="C4" s="11" t="s">
        <v>81</v>
      </c>
      <c r="D4" s="11" t="s">
        <v>80</v>
      </c>
      <c r="E4" s="11" t="s">
        <v>114</v>
      </c>
      <c r="F4" s="11" t="s">
        <v>115</v>
      </c>
      <c r="G4" s="11" t="s">
        <v>116</v>
      </c>
      <c r="H4" s="11" t="s">
        <v>117</v>
      </c>
      <c r="I4" s="11" t="s">
        <v>118</v>
      </c>
      <c r="J4" s="12" t="s">
        <v>119</v>
      </c>
      <c r="K4" s="12" t="s">
        <v>120</v>
      </c>
      <c r="L4" s="12" t="s">
        <v>121</v>
      </c>
      <c r="M4" s="12" t="s">
        <v>122</v>
      </c>
      <c r="N4" s="12" t="s">
        <v>123</v>
      </c>
      <c r="O4" s="12" t="s">
        <v>124</v>
      </c>
      <c r="P4" s="11" t="s">
        <v>125</v>
      </c>
      <c r="Q4" s="11" t="s">
        <v>82</v>
      </c>
      <c r="R4" s="11" t="s">
        <v>87</v>
      </c>
      <c r="S4" s="11" t="s">
        <v>126</v>
      </c>
      <c r="T4" s="11" t="s">
        <v>127</v>
      </c>
      <c r="U4" s="11" t="s">
        <v>128</v>
      </c>
    </row>
    <row r="5" spans="1:21" x14ac:dyDescent="0.25">
      <c r="A5" t="s">
        <v>231</v>
      </c>
      <c r="B5" t="s">
        <v>232</v>
      </c>
      <c r="C5" t="s">
        <v>97</v>
      </c>
      <c r="E5" t="s">
        <v>233</v>
      </c>
      <c r="F5" s="13">
        <v>46165</v>
      </c>
      <c r="G5" t="s">
        <v>234</v>
      </c>
      <c r="I5" s="13">
        <v>46143</v>
      </c>
      <c r="J5" s="4">
        <v>147256</v>
      </c>
      <c r="K5" s="4">
        <v>26506.08</v>
      </c>
      <c r="L5" s="4">
        <v>0</v>
      </c>
      <c r="M5" s="4">
        <v>0</v>
      </c>
      <c r="N5" s="4">
        <v>0</v>
      </c>
      <c r="O5" s="4">
        <v>26506.08</v>
      </c>
      <c r="P5" t="s">
        <v>235</v>
      </c>
      <c r="Q5" t="s">
        <v>98</v>
      </c>
      <c r="R5" t="s">
        <v>236</v>
      </c>
      <c r="S5">
        <v>2</v>
      </c>
      <c r="U5" t="s">
        <v>237</v>
      </c>
    </row>
    <row r="6" spans="1:21" x14ac:dyDescent="0.25">
      <c r="A6" t="s">
        <v>231</v>
      </c>
      <c r="B6" t="s">
        <v>232</v>
      </c>
      <c r="C6" t="s">
        <v>161</v>
      </c>
      <c r="E6" t="s">
        <v>238</v>
      </c>
      <c r="F6" s="13">
        <v>46160</v>
      </c>
      <c r="G6" t="s">
        <v>239</v>
      </c>
      <c r="I6" s="13">
        <v>46143</v>
      </c>
      <c r="J6" s="4">
        <v>23267</v>
      </c>
      <c r="K6" s="4">
        <v>4188.06</v>
      </c>
      <c r="L6" s="4">
        <v>0</v>
      </c>
      <c r="M6" s="4">
        <v>0</v>
      </c>
      <c r="N6" s="4">
        <v>0</v>
      </c>
      <c r="O6" s="4">
        <v>4188.06</v>
      </c>
      <c r="P6" t="s">
        <v>240</v>
      </c>
      <c r="Q6" t="s">
        <v>98</v>
      </c>
      <c r="R6" t="s">
        <v>236</v>
      </c>
      <c r="S6">
        <v>2</v>
      </c>
      <c r="U6" t="s">
        <v>241</v>
      </c>
    </row>
    <row r="7" spans="1:21" x14ac:dyDescent="0.25">
      <c r="A7" t="s">
        <v>231</v>
      </c>
      <c r="B7" t="s">
        <v>232</v>
      </c>
      <c r="C7" t="s">
        <v>161</v>
      </c>
      <c r="E7" t="s">
        <v>242</v>
      </c>
      <c r="F7" s="13">
        <v>46184</v>
      </c>
      <c r="G7" t="s">
        <v>243</v>
      </c>
      <c r="I7" s="13">
        <v>46174</v>
      </c>
      <c r="J7" s="4">
        <v>11562</v>
      </c>
      <c r="K7" s="4">
        <v>2081.16</v>
      </c>
      <c r="L7" s="4">
        <v>0</v>
      </c>
      <c r="M7" s="4">
        <v>0</v>
      </c>
      <c r="N7" s="4">
        <v>0</v>
      </c>
      <c r="O7" s="4">
        <v>2081.16</v>
      </c>
      <c r="P7" t="s">
        <v>244</v>
      </c>
      <c r="Q7" t="s">
        <v>98</v>
      </c>
      <c r="R7" t="s">
        <v>236</v>
      </c>
      <c r="S7">
        <v>2</v>
      </c>
      <c r="U7" t="s">
        <v>245</v>
      </c>
    </row>
    <row r="8" spans="1:21" x14ac:dyDescent="0.25">
      <c r="A8" t="s">
        <v>231</v>
      </c>
      <c r="B8" t="s">
        <v>246</v>
      </c>
      <c r="C8" t="s">
        <v>161</v>
      </c>
      <c r="E8" t="s">
        <v>247</v>
      </c>
      <c r="F8" s="13">
        <v>46188</v>
      </c>
      <c r="G8" t="s">
        <v>248</v>
      </c>
      <c r="I8" s="13">
        <v>46174</v>
      </c>
      <c r="J8" s="4">
        <v>45000</v>
      </c>
      <c r="K8" s="4">
        <v>0</v>
      </c>
      <c r="L8" s="4">
        <v>0</v>
      </c>
      <c r="M8" s="4">
        <v>0</v>
      </c>
      <c r="N8" s="4">
        <v>0</v>
      </c>
      <c r="O8" s="4">
        <v>8100</v>
      </c>
      <c r="P8" t="s">
        <v>249</v>
      </c>
      <c r="Q8" t="s">
        <v>170</v>
      </c>
      <c r="R8" t="s">
        <v>135</v>
      </c>
      <c r="U8" t="s">
        <v>250</v>
      </c>
    </row>
    <row r="9" spans="1:21" x14ac:dyDescent="0.25">
      <c r="A9" t="s">
        <v>231</v>
      </c>
      <c r="B9" t="s">
        <v>246</v>
      </c>
      <c r="C9" t="s">
        <v>161</v>
      </c>
      <c r="E9" t="s">
        <v>251</v>
      </c>
      <c r="F9" s="13">
        <v>46193</v>
      </c>
      <c r="G9" t="s">
        <v>252</v>
      </c>
      <c r="I9" s="13">
        <v>46174</v>
      </c>
      <c r="J9" s="4">
        <v>60000</v>
      </c>
      <c r="K9" s="4">
        <v>0</v>
      </c>
      <c r="L9" s="4">
        <v>0</v>
      </c>
      <c r="M9" s="4">
        <v>0</v>
      </c>
      <c r="N9" s="4">
        <v>0</v>
      </c>
      <c r="O9" s="4">
        <v>10800</v>
      </c>
      <c r="P9" t="s">
        <v>253</v>
      </c>
      <c r="Q9" t="s">
        <v>170</v>
      </c>
      <c r="R9" t="s">
        <v>135</v>
      </c>
      <c r="U9" t="s">
        <v>254</v>
      </c>
    </row>
    <row r="10" spans="1:15" x14ac:dyDescent="0.25">
      <c r="A10" s="8" t="s">
        <v>111</v>
      </c>
      <c r="J10" s="9">
        <f>SUBTOTAL(9,J5:J9)</f>
      </c>
      <c r="K10" s="9">
        <f>SUBTOTAL(9,K5:K9)</f>
      </c>
      <c r="L10" s="9">
        <f>SUBTOTAL(9,L5:L9)</f>
      </c>
      <c r="M10" s="9">
        <f>SUBTOTAL(9,M5:M9)</f>
      </c>
      <c r="N10" s="9">
        <f>SUBTOTAL(9,N5:N9)</f>
      </c>
      <c r="O10" s="9">
        <f>SUBTOTAL(9,O5:O9)</f>
      </c>
    </row>
  </sheetData>
  <autoFilter ref="A4:U9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&amp;LHIRA Associates | Your GST Compliance Partner&amp;RPage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11" customWidth="1"/>
    <col min="4" max="4" width="18" customWidth="1"/>
    <col min="5" max="5" width="20" customWidth="1"/>
    <col min="6" max="6" width="12" customWidth="1"/>
    <col min="7" max="7" width="26" customWidth="1"/>
    <col min="8" max="8" width="18" customWidth="1"/>
    <col min="9" max="9" width="11" customWidth="1"/>
    <col min="10" max="15" width="16" style="4" customWidth="1"/>
    <col min="16" max="16" width="80" customWidth="1"/>
    <col min="17" max="17" width="20" customWidth="1"/>
    <col min="18" max="18" width="14" customWidth="1"/>
    <col min="19" max="19" width="10" customWidth="1"/>
    <col min="20" max="21" width="40" customWidth="1"/>
  </cols>
  <sheetData>
    <row r="1" spans="1:15" x14ac:dyDescent="0.25">
      <c r="A1" s="5" t="s">
        <v>363</v>
      </c>
      <c r="J1" s="4"/>
      <c r="K1" s="4"/>
      <c r="L1" s="4"/>
      <c r="M1" s="4"/>
      <c r="N1" s="4"/>
      <c r="O1" s="4"/>
    </row>
    <row r="2" spans="1:15" x14ac:dyDescent="0.25">
      <c r="A2" s="10" t="s">
        <v>1</v>
      </c>
      <c r="J2" s="4"/>
      <c r="K2" s="4"/>
      <c r="L2" s="4"/>
      <c r="M2" s="4"/>
      <c r="N2" s="4"/>
      <c r="O2" s="4"/>
    </row>
    <row r="4" ht="30" customHeight="1" spans="1:21" x14ac:dyDescent="0.25">
      <c r="A4" s="11" t="s">
        <v>112</v>
      </c>
      <c r="B4" s="11" t="s">
        <v>113</v>
      </c>
      <c r="C4" s="11" t="s">
        <v>81</v>
      </c>
      <c r="D4" s="11" t="s">
        <v>80</v>
      </c>
      <c r="E4" s="11" t="s">
        <v>114</v>
      </c>
      <c r="F4" s="11" t="s">
        <v>115</v>
      </c>
      <c r="G4" s="11" t="s">
        <v>116</v>
      </c>
      <c r="H4" s="11" t="s">
        <v>117</v>
      </c>
      <c r="I4" s="11" t="s">
        <v>118</v>
      </c>
      <c r="J4" s="12" t="s">
        <v>119</v>
      </c>
      <c r="K4" s="12" t="s">
        <v>120</v>
      </c>
      <c r="L4" s="12" t="s">
        <v>121</v>
      </c>
      <c r="M4" s="12" t="s">
        <v>122</v>
      </c>
      <c r="N4" s="12" t="s">
        <v>123</v>
      </c>
      <c r="O4" s="12" t="s">
        <v>124</v>
      </c>
      <c r="P4" s="11" t="s">
        <v>125</v>
      </c>
      <c r="Q4" s="11" t="s">
        <v>82</v>
      </c>
      <c r="R4" s="11" t="s">
        <v>87</v>
      </c>
      <c r="S4" s="11" t="s">
        <v>126</v>
      </c>
      <c r="T4" s="11" t="s">
        <v>127</v>
      </c>
      <c r="U4" s="11" t="s">
        <v>128</v>
      </c>
    </row>
    <row r="5" spans="1:21" x14ac:dyDescent="0.25">
      <c r="A5" t="s">
        <v>285</v>
      </c>
      <c r="B5" t="s">
        <v>286</v>
      </c>
      <c r="C5" t="s">
        <v>97</v>
      </c>
      <c r="D5" t="s">
        <v>91</v>
      </c>
      <c r="F5" s="13"/>
      <c r="I5" s="13"/>
      <c r="J5" s="4">
        <v>0</v>
      </c>
      <c r="K5" s="4">
        <v>0</v>
      </c>
      <c r="L5" s="4">
        <v>0</v>
      </c>
      <c r="M5" s="4">
        <v>0</v>
      </c>
      <c r="N5" s="4">
        <v>99312.89</v>
      </c>
      <c r="O5" s="4">
        <v>0</v>
      </c>
      <c r="P5" t="s">
        <v>287</v>
      </c>
      <c r="Q5" t="s">
        <v>93</v>
      </c>
      <c r="R5" t="s">
        <v>236</v>
      </c>
      <c r="S5">
        <v>3</v>
      </c>
      <c r="U5" t="s">
        <v>288</v>
      </c>
    </row>
    <row r="6" spans="1:21" x14ac:dyDescent="0.25">
      <c r="A6" t="s">
        <v>285</v>
      </c>
      <c r="B6" t="s">
        <v>289</v>
      </c>
      <c r="C6" t="s">
        <v>161</v>
      </c>
      <c r="D6" t="s">
        <v>91</v>
      </c>
      <c r="E6" t="s">
        <v>290</v>
      </c>
      <c r="F6" s="13">
        <v>46118</v>
      </c>
      <c r="H6" t="s">
        <v>140</v>
      </c>
      <c r="I6" s="13">
        <v>46113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t="s">
        <v>291</v>
      </c>
      <c r="Q6" t="s">
        <v>98</v>
      </c>
      <c r="R6" t="s">
        <v>135</v>
      </c>
      <c r="U6" t="s">
        <v>292</v>
      </c>
    </row>
    <row r="7" spans="1:21" x14ac:dyDescent="0.25">
      <c r="A7" t="s">
        <v>285</v>
      </c>
      <c r="B7" t="s">
        <v>293</v>
      </c>
      <c r="C7" t="s">
        <v>161</v>
      </c>
      <c r="D7" t="s">
        <v>91</v>
      </c>
      <c r="E7" t="s">
        <v>290</v>
      </c>
      <c r="F7" s="13">
        <v>46118</v>
      </c>
      <c r="H7" t="s">
        <v>140</v>
      </c>
      <c r="I7" s="13">
        <v>46113</v>
      </c>
      <c r="J7" s="4">
        <v>0</v>
      </c>
      <c r="K7" s="4">
        <v>-58693.41</v>
      </c>
      <c r="L7" s="4">
        <v>0</v>
      </c>
      <c r="M7" s="4">
        <v>0</v>
      </c>
      <c r="N7" s="4">
        <v>58693.41</v>
      </c>
      <c r="O7" s="4">
        <v>0</v>
      </c>
      <c r="P7" t="s">
        <v>294</v>
      </c>
      <c r="Q7" t="s">
        <v>98</v>
      </c>
      <c r="R7" t="s">
        <v>135</v>
      </c>
      <c r="U7" t="s">
        <v>292</v>
      </c>
    </row>
    <row r="8" spans="1:21" x14ac:dyDescent="0.25">
      <c r="A8" t="s">
        <v>285</v>
      </c>
      <c r="B8" t="s">
        <v>289</v>
      </c>
      <c r="C8" t="s">
        <v>161</v>
      </c>
      <c r="D8" t="s">
        <v>91</v>
      </c>
      <c r="E8" t="s">
        <v>295</v>
      </c>
      <c r="F8" s="13">
        <v>46125</v>
      </c>
      <c r="H8" t="s">
        <v>133</v>
      </c>
      <c r="I8" s="13">
        <v>46113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t="s">
        <v>296</v>
      </c>
      <c r="Q8" t="s">
        <v>98</v>
      </c>
      <c r="R8" t="s">
        <v>135</v>
      </c>
      <c r="U8" t="s">
        <v>297</v>
      </c>
    </row>
    <row r="9" spans="1:21" x14ac:dyDescent="0.25">
      <c r="A9" t="s">
        <v>285</v>
      </c>
      <c r="B9" t="s">
        <v>293</v>
      </c>
      <c r="C9" t="s">
        <v>161</v>
      </c>
      <c r="D9" t="s">
        <v>91</v>
      </c>
      <c r="E9" t="s">
        <v>295</v>
      </c>
      <c r="F9" s="13">
        <v>46125</v>
      </c>
      <c r="H9" t="s">
        <v>133</v>
      </c>
      <c r="I9" s="13">
        <v>46113</v>
      </c>
      <c r="J9" s="4">
        <v>0</v>
      </c>
      <c r="K9" s="4">
        <v>-8068.75</v>
      </c>
      <c r="L9" s="4">
        <v>0</v>
      </c>
      <c r="M9" s="4">
        <v>0</v>
      </c>
      <c r="N9" s="4">
        <v>8068.75</v>
      </c>
      <c r="O9" s="4">
        <v>0</v>
      </c>
      <c r="P9" t="s">
        <v>298</v>
      </c>
      <c r="Q9" t="s">
        <v>98</v>
      </c>
      <c r="R9" t="s">
        <v>135</v>
      </c>
      <c r="U9" t="s">
        <v>297</v>
      </c>
    </row>
    <row r="10" spans="1:21" x14ac:dyDescent="0.25">
      <c r="A10" t="s">
        <v>285</v>
      </c>
      <c r="B10" t="s">
        <v>289</v>
      </c>
      <c r="C10" t="s">
        <v>161</v>
      </c>
      <c r="D10" t="s">
        <v>91</v>
      </c>
      <c r="E10" t="s">
        <v>299</v>
      </c>
      <c r="F10" s="13">
        <v>46136</v>
      </c>
      <c r="H10" t="s">
        <v>140</v>
      </c>
      <c r="I10" s="13">
        <v>46113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t="s">
        <v>300</v>
      </c>
      <c r="Q10" t="s">
        <v>98</v>
      </c>
      <c r="R10" t="s">
        <v>135</v>
      </c>
      <c r="U10" t="s">
        <v>301</v>
      </c>
    </row>
    <row r="11" spans="1:21" x14ac:dyDescent="0.25">
      <c r="A11" t="s">
        <v>285</v>
      </c>
      <c r="B11" t="s">
        <v>293</v>
      </c>
      <c r="C11" t="s">
        <v>161</v>
      </c>
      <c r="D11" t="s">
        <v>91</v>
      </c>
      <c r="E11" t="s">
        <v>299</v>
      </c>
      <c r="F11" s="13">
        <v>46136</v>
      </c>
      <c r="H11" t="s">
        <v>140</v>
      </c>
      <c r="I11" s="13">
        <v>46113</v>
      </c>
      <c r="J11" s="4">
        <v>0</v>
      </c>
      <c r="K11" s="4">
        <v>-32550.73</v>
      </c>
      <c r="L11" s="4">
        <v>0</v>
      </c>
      <c r="M11" s="4">
        <v>0</v>
      </c>
      <c r="N11" s="4">
        <v>32550.73</v>
      </c>
      <c r="O11" s="4">
        <v>0</v>
      </c>
      <c r="P11" t="s">
        <v>302</v>
      </c>
      <c r="Q11" t="s">
        <v>98</v>
      </c>
      <c r="R11" t="s">
        <v>135</v>
      </c>
      <c r="U11" t="s">
        <v>301</v>
      </c>
    </row>
    <row r="12" spans="1:21" x14ac:dyDescent="0.25">
      <c r="A12" t="s">
        <v>285</v>
      </c>
      <c r="B12" t="s">
        <v>303</v>
      </c>
      <c r="C12" t="s">
        <v>161</v>
      </c>
      <c r="D12" t="s">
        <v>91</v>
      </c>
      <c r="E12" t="s">
        <v>304</v>
      </c>
      <c r="F12" s="13">
        <v>46194</v>
      </c>
      <c r="H12" t="s">
        <v>151</v>
      </c>
      <c r="I12" s="13">
        <v>46174</v>
      </c>
      <c r="J12" s="4">
        <v>90000</v>
      </c>
      <c r="K12" s="4">
        <v>0</v>
      </c>
      <c r="L12" s="4">
        <v>8100</v>
      </c>
      <c r="M12" s="4">
        <v>8100</v>
      </c>
      <c r="N12" s="4">
        <v>0</v>
      </c>
      <c r="O12" s="4">
        <v>16200</v>
      </c>
      <c r="P12" t="s">
        <v>305</v>
      </c>
      <c r="Q12" t="s">
        <v>170</v>
      </c>
      <c r="R12" t="s">
        <v>135</v>
      </c>
      <c r="U12" t="s">
        <v>306</v>
      </c>
    </row>
    <row r="13" spans="1:21" x14ac:dyDescent="0.25">
      <c r="A13" t="s">
        <v>285</v>
      </c>
      <c r="B13" t="s">
        <v>307</v>
      </c>
      <c r="C13" t="s">
        <v>161</v>
      </c>
      <c r="D13" t="s">
        <v>91</v>
      </c>
      <c r="F13" s="13"/>
      <c r="I13" s="13"/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156304.59</v>
      </c>
      <c r="P13" t="s">
        <v>308</v>
      </c>
      <c r="Q13" t="s">
        <v>170</v>
      </c>
      <c r="R13" t="s">
        <v>135</v>
      </c>
      <c r="U13" t="s">
        <v>309</v>
      </c>
    </row>
    <row r="14" spans="1:21" x14ac:dyDescent="0.25">
      <c r="A14" t="s">
        <v>285</v>
      </c>
      <c r="B14" t="s">
        <v>310</v>
      </c>
      <c r="C14" t="s">
        <v>311</v>
      </c>
      <c r="D14" t="s">
        <v>91</v>
      </c>
      <c r="E14" t="s">
        <v>312</v>
      </c>
      <c r="F14" s="13">
        <v>46160</v>
      </c>
      <c r="H14" t="s">
        <v>313</v>
      </c>
      <c r="I14" s="13">
        <v>46143</v>
      </c>
      <c r="J14" s="4">
        <v>250000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t="s">
        <v>314</v>
      </c>
      <c r="Q14" t="s">
        <v>315</v>
      </c>
      <c r="R14" t="s">
        <v>135</v>
      </c>
      <c r="U14" t="s">
        <v>316</v>
      </c>
    </row>
    <row r="15" spans="1:15" x14ac:dyDescent="0.25">
      <c r="A15" s="8" t="s">
        <v>111</v>
      </c>
      <c r="J15" s="9">
        <f>SUBTOTAL(9,J5:J14)</f>
      </c>
      <c r="K15" s="9">
        <f>SUBTOTAL(9,K5:K14)</f>
      </c>
      <c r="L15" s="9">
        <f>SUBTOTAL(9,L5:L14)</f>
      </c>
      <c r="M15" s="9">
        <f>SUBTOTAL(9,M5:M14)</f>
      </c>
      <c r="N15" s="9">
        <f>SUBTOTAL(9,N5:N14)</f>
      </c>
      <c r="O15" s="9">
        <f>SUBTOTAL(9,O5:O14)</f>
      </c>
    </row>
  </sheetData>
  <autoFilter ref="A4:U14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&amp;LHIRA Associates | Your GST Compliance Partner&amp;RPage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style="4" customWidth="1"/>
    <col min="5" max="6" width="11" customWidth="1"/>
    <col min="7" max="7" width="14" customWidth="1"/>
    <col min="8" max="8" width="12" customWidth="1"/>
    <col min="10" max="11" width="12" customWidth="1"/>
    <col min="12" max="12" width="14" customWidth="1"/>
    <col min="13" max="13" width="16" customWidth="1"/>
    <col min="14" max="14" width="14" customWidth="1"/>
  </cols>
  <sheetData>
    <row r="1" spans="1:3" x14ac:dyDescent="0.25">
      <c r="A1" s="5" t="s">
        <v>364</v>
      </c>
      <c r="C1" s="4"/>
    </row>
    <row r="2" spans="1:3" x14ac:dyDescent="0.25">
      <c r="A2" s="10" t="s">
        <v>1</v>
      </c>
      <c r="C2" s="4"/>
    </row>
    <row r="4" ht="30" customHeight="1" spans="1:14" x14ac:dyDescent="0.25">
      <c r="A4" s="11" t="s">
        <v>365</v>
      </c>
      <c r="B4" s="11" t="s">
        <v>115</v>
      </c>
      <c r="C4" s="12" t="s">
        <v>366</v>
      </c>
      <c r="D4" s="11" t="s">
        <v>367</v>
      </c>
      <c r="E4" s="11" t="s">
        <v>368</v>
      </c>
      <c r="F4" s="11" t="s">
        <v>369</v>
      </c>
      <c r="G4" s="11" t="s">
        <v>370</v>
      </c>
      <c r="H4" s="11" t="s">
        <v>371</v>
      </c>
      <c r="I4" s="11" t="s">
        <v>372</v>
      </c>
      <c r="J4" s="11" t="s">
        <v>373</v>
      </c>
      <c r="K4" s="11" t="s">
        <v>374</v>
      </c>
      <c r="L4" s="11" t="s">
        <v>375</v>
      </c>
      <c r="M4" s="11" t="s">
        <v>376</v>
      </c>
      <c r="N4" s="11" t="s">
        <v>377</v>
      </c>
    </row>
    <row r="5" spans="1:14" x14ac:dyDescent="0.25">
      <c r="A5" t="s">
        <v>260</v>
      </c>
      <c r="B5" s="13">
        <v>46122</v>
      </c>
      <c r="C5" s="4">
        <v>600000</v>
      </c>
      <c r="D5" t="s">
        <v>378</v>
      </c>
      <c r="E5" t="s">
        <v>378</v>
      </c>
      <c r="F5" t="s">
        <v>378</v>
      </c>
      <c r="G5" t="s">
        <v>379</v>
      </c>
      <c r="H5" s="13">
        <v>46126</v>
      </c>
      <c r="I5" t="s">
        <v>380</v>
      </c>
      <c r="J5" s="13">
        <v>46127</v>
      </c>
      <c r="K5" t="s">
        <v>381</v>
      </c>
      <c r="L5" t="s">
        <v>382</v>
      </c>
      <c r="M5" t="s">
        <v>383</v>
      </c>
      <c r="N5" t="s">
        <v>384</v>
      </c>
    </row>
    <row r="6" spans="1:14" x14ac:dyDescent="0.25">
      <c r="A6" t="s">
        <v>263</v>
      </c>
      <c r="B6" s="13">
        <v>46123</v>
      </c>
      <c r="C6" s="4">
        <v>725000</v>
      </c>
      <c r="D6" t="s">
        <v>378</v>
      </c>
      <c r="E6" t="s">
        <v>378</v>
      </c>
      <c r="F6" t="s">
        <v>378</v>
      </c>
      <c r="G6" t="s">
        <v>385</v>
      </c>
      <c r="H6" s="13">
        <v>46127</v>
      </c>
      <c r="I6" t="s">
        <v>380</v>
      </c>
      <c r="J6" s="13">
        <v>46128</v>
      </c>
      <c r="K6" t="s">
        <v>386</v>
      </c>
      <c r="L6" t="s">
        <v>387</v>
      </c>
      <c r="M6" t="s">
        <v>383</v>
      </c>
      <c r="N6" t="s">
        <v>384</v>
      </c>
    </row>
    <row r="7" spans="1:14" x14ac:dyDescent="0.25">
      <c r="A7" t="s">
        <v>272</v>
      </c>
      <c r="B7" s="13">
        <v>46154</v>
      </c>
      <c r="C7" s="4">
        <v>850000</v>
      </c>
      <c r="D7" t="s">
        <v>378</v>
      </c>
      <c r="E7" t="s">
        <v>378</v>
      </c>
      <c r="F7" t="s">
        <v>388</v>
      </c>
      <c r="H7" s="13"/>
      <c r="J7" s="13"/>
      <c r="N7" t="s">
        <v>389</v>
      </c>
    </row>
    <row r="8" spans="1:14" x14ac:dyDescent="0.25">
      <c r="A8" t="s">
        <v>275</v>
      </c>
      <c r="B8" s="13">
        <v>46155</v>
      </c>
      <c r="C8" s="4">
        <v>975000</v>
      </c>
      <c r="D8" t="s">
        <v>378</v>
      </c>
      <c r="E8" t="s">
        <v>378</v>
      </c>
      <c r="F8" t="s">
        <v>388</v>
      </c>
      <c r="H8" s="13"/>
      <c r="J8" s="13"/>
      <c r="N8" t="s">
        <v>389</v>
      </c>
    </row>
    <row r="9" spans="1:14" x14ac:dyDescent="0.25">
      <c r="A9" t="s">
        <v>278</v>
      </c>
      <c r="B9" s="13">
        <v>46187</v>
      </c>
      <c r="C9" s="4">
        <v>1100000</v>
      </c>
      <c r="D9" t="s">
        <v>378</v>
      </c>
      <c r="E9" t="s">
        <v>378</v>
      </c>
      <c r="F9" t="s">
        <v>388</v>
      </c>
      <c r="H9" s="13"/>
      <c r="J9" s="13"/>
      <c r="N9" t="s">
        <v>389</v>
      </c>
    </row>
    <row r="10" spans="1:3" x14ac:dyDescent="0.25">
      <c r="A10" s="8" t="s">
        <v>111</v>
      </c>
      <c r="C10" s="9">
        <f>SUBTOTAL(9,C5:C9)</f>
      </c>
    </row>
  </sheetData>
  <autoFilter ref="A4:N9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&amp;LHIRA Associates | Your GST Compliance Partner&amp;RPage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11" customWidth="1"/>
    <col min="4" max="4" width="18" customWidth="1"/>
    <col min="5" max="5" width="20" customWidth="1"/>
    <col min="6" max="6" width="12" customWidth="1"/>
    <col min="7" max="7" width="26" customWidth="1"/>
    <col min="8" max="8" width="18" customWidth="1"/>
    <col min="9" max="9" width="11" customWidth="1"/>
    <col min="10" max="15" width="16" style="4" customWidth="1"/>
    <col min="16" max="16" width="80" customWidth="1"/>
    <col min="17" max="17" width="20" customWidth="1"/>
    <col min="18" max="18" width="14" customWidth="1"/>
    <col min="19" max="19" width="10" customWidth="1"/>
    <col min="20" max="21" width="40" customWidth="1"/>
  </cols>
  <sheetData>
    <row r="1" spans="1:15" x14ac:dyDescent="0.25">
      <c r="A1" s="5" t="s">
        <v>390</v>
      </c>
      <c r="J1" s="4"/>
      <c r="K1" s="4"/>
      <c r="L1" s="4"/>
      <c r="M1" s="4"/>
      <c r="N1" s="4"/>
      <c r="O1" s="4"/>
    </row>
    <row r="2" spans="1:15" x14ac:dyDescent="0.25">
      <c r="A2" s="10" t="s">
        <v>391</v>
      </c>
      <c r="J2" s="4"/>
      <c r="K2" s="4"/>
      <c r="L2" s="4"/>
      <c r="M2" s="4"/>
      <c r="N2" s="4"/>
      <c r="O2" s="4"/>
    </row>
    <row r="4" ht="30" customHeight="1" spans="1:21" x14ac:dyDescent="0.25">
      <c r="A4" s="11" t="s">
        <v>112</v>
      </c>
      <c r="B4" s="11" t="s">
        <v>113</v>
      </c>
      <c r="C4" s="11" t="s">
        <v>81</v>
      </c>
      <c r="D4" s="11" t="s">
        <v>80</v>
      </c>
      <c r="E4" s="11" t="s">
        <v>114</v>
      </c>
      <c r="F4" s="11" t="s">
        <v>115</v>
      </c>
      <c r="G4" s="11" t="s">
        <v>116</v>
      </c>
      <c r="H4" s="11" t="s">
        <v>117</v>
      </c>
      <c r="I4" s="11" t="s">
        <v>118</v>
      </c>
      <c r="J4" s="12" t="s">
        <v>119</v>
      </c>
      <c r="K4" s="12" t="s">
        <v>120</v>
      </c>
      <c r="L4" s="12" t="s">
        <v>121</v>
      </c>
      <c r="M4" s="12" t="s">
        <v>122</v>
      </c>
      <c r="N4" s="12" t="s">
        <v>123</v>
      </c>
      <c r="O4" s="12" t="s">
        <v>124</v>
      </c>
      <c r="P4" s="11" t="s">
        <v>125</v>
      </c>
      <c r="Q4" s="11" t="s">
        <v>82</v>
      </c>
      <c r="R4" s="11" t="s">
        <v>87</v>
      </c>
      <c r="S4" s="11" t="s">
        <v>126</v>
      </c>
      <c r="T4" s="11" t="s">
        <v>127</v>
      </c>
      <c r="U4" s="11" t="s">
        <v>128</v>
      </c>
    </row>
    <row r="5" spans="1:1" x14ac:dyDescent="0.25">
      <c r="A5" t="s">
        <v>392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&amp;LHIRA Associates | Your GST Compliance Partner&amp;RPage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1" customWidth="1"/>
    <col min="4" max="4" width="14" customWidth="1"/>
    <col min="5" max="5" width="12" customWidth="1"/>
    <col min="6" max="6" width="14" customWidth="1"/>
    <col min="7" max="7" width="16" style="4" customWidth="1"/>
  </cols>
  <sheetData>
    <row r="1" spans="1:7" x14ac:dyDescent="0.25">
      <c r="A1" s="5" t="s">
        <v>28</v>
      </c>
      <c r="G1" s="4"/>
    </row>
    <row r="2" spans="1:7" x14ac:dyDescent="0.25">
      <c r="A2" s="10" t="s">
        <v>1</v>
      </c>
      <c r="G2" s="4"/>
    </row>
    <row r="4" ht="30" customHeight="1" spans="1:7" x14ac:dyDescent="0.25">
      <c r="A4" s="11" t="s">
        <v>393</v>
      </c>
      <c r="B4" s="11" t="s">
        <v>394</v>
      </c>
      <c r="C4" s="11" t="s">
        <v>395</v>
      </c>
      <c r="D4" s="11" t="s">
        <v>396</v>
      </c>
      <c r="E4" s="11" t="s">
        <v>397</v>
      </c>
      <c r="F4" s="11" t="s">
        <v>398</v>
      </c>
      <c r="G4" s="12" t="s">
        <v>399</v>
      </c>
    </row>
    <row r="5" spans="1:7" x14ac:dyDescent="0.25">
      <c r="A5" t="s">
        <v>400</v>
      </c>
      <c r="C5">
        <v>4</v>
      </c>
      <c r="D5">
        <v>0</v>
      </c>
      <c r="E5">
        <v>0</v>
      </c>
      <c r="F5">
        <v>0</v>
      </c>
      <c r="G5" s="4">
        <v>917966.29</v>
      </c>
    </row>
    <row r="6" spans="1:7" x14ac:dyDescent="0.25">
      <c r="A6" t="s">
        <v>218</v>
      </c>
      <c r="B6" t="s">
        <v>217</v>
      </c>
      <c r="C6">
        <v>2</v>
      </c>
      <c r="D6">
        <v>0</v>
      </c>
      <c r="E6">
        <v>0</v>
      </c>
      <c r="F6">
        <v>0</v>
      </c>
      <c r="G6" s="4">
        <v>72000</v>
      </c>
    </row>
    <row r="7" spans="1:7" x14ac:dyDescent="0.25">
      <c r="A7" t="s">
        <v>191</v>
      </c>
      <c r="B7" t="s">
        <v>190</v>
      </c>
      <c r="C7">
        <v>2</v>
      </c>
      <c r="D7">
        <v>1</v>
      </c>
      <c r="E7">
        <v>0</v>
      </c>
      <c r="F7">
        <v>0</v>
      </c>
      <c r="G7" s="4">
        <v>25975.24</v>
      </c>
    </row>
    <row r="8" spans="1:7" x14ac:dyDescent="0.25">
      <c r="A8" t="s">
        <v>196</v>
      </c>
      <c r="B8" t="s">
        <v>195</v>
      </c>
      <c r="C8">
        <v>3</v>
      </c>
      <c r="D8">
        <v>1</v>
      </c>
      <c r="E8">
        <v>0</v>
      </c>
      <c r="F8">
        <v>0</v>
      </c>
      <c r="G8" s="4">
        <v>24160.94</v>
      </c>
    </row>
    <row r="9" spans="1:7" x14ac:dyDescent="0.25">
      <c r="A9" t="s">
        <v>205</v>
      </c>
      <c r="B9" t="s">
        <v>204</v>
      </c>
      <c r="C9">
        <v>1</v>
      </c>
      <c r="D9">
        <v>1</v>
      </c>
      <c r="E9">
        <v>0</v>
      </c>
      <c r="F9">
        <v>0</v>
      </c>
      <c r="G9" s="4">
        <v>7079.22</v>
      </c>
    </row>
    <row r="10" spans="1:7" x14ac:dyDescent="0.25">
      <c r="A10" t="s">
        <v>185</v>
      </c>
      <c r="B10" t="s">
        <v>184</v>
      </c>
      <c r="C10">
        <v>1</v>
      </c>
      <c r="D10">
        <v>0</v>
      </c>
      <c r="E10">
        <v>0</v>
      </c>
      <c r="F10">
        <v>0</v>
      </c>
      <c r="G10" s="4">
        <v>1800</v>
      </c>
    </row>
    <row r="11" spans="1:7" x14ac:dyDescent="0.25">
      <c r="A11" s="8" t="s">
        <v>111</v>
      </c>
      <c r="G11" s="9">
        <f>SUBTOTAL(9,G5:G10)</f>
      </c>
    </row>
  </sheetData>
  <autoFilter ref="A4:G10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&amp;LHIRA Associates | Your GST Compliance Partner&amp;RPage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20" customWidth="1"/>
    <col min="4" max="4" width="22" customWidth="1"/>
    <col min="5" max="5" width="11" customWidth="1"/>
    <col min="6" max="6" width="16" style="4" customWidth="1"/>
    <col min="7" max="7" width="13" customWidth="1"/>
    <col min="8" max="8" width="7" customWidth="1"/>
    <col min="9" max="9" width="16" style="4" customWidth="1"/>
    <col min="10" max="10" width="50" customWidth="1"/>
    <col min="11" max="11" width="18" customWidth="1"/>
  </cols>
  <sheetData>
    <row r="1" spans="1:9" x14ac:dyDescent="0.25">
      <c r="A1" s="5" t="s">
        <v>401</v>
      </c>
      <c r="F1" s="4"/>
      <c r="I1" s="4"/>
    </row>
    <row r="2" spans="1:9" x14ac:dyDescent="0.25">
      <c r="A2" s="10" t="s">
        <v>402</v>
      </c>
      <c r="F2" s="4"/>
      <c r="I2" s="4"/>
    </row>
    <row r="4" ht="30" customHeight="1" spans="1:11" x14ac:dyDescent="0.25">
      <c r="A4" s="11" t="s">
        <v>403</v>
      </c>
      <c r="B4" s="11" t="s">
        <v>404</v>
      </c>
      <c r="C4" s="11" t="s">
        <v>405</v>
      </c>
      <c r="D4" s="11" t="s">
        <v>114</v>
      </c>
      <c r="E4" s="11" t="s">
        <v>118</v>
      </c>
      <c r="F4" s="12" t="s">
        <v>83</v>
      </c>
      <c r="G4" s="11" t="s">
        <v>406</v>
      </c>
      <c r="H4" s="11" t="s">
        <v>407</v>
      </c>
      <c r="I4" s="12" t="s">
        <v>84</v>
      </c>
      <c r="J4" s="11" t="s">
        <v>408</v>
      </c>
      <c r="K4" s="11" t="s">
        <v>409</v>
      </c>
    </row>
    <row r="5" spans="1:11" x14ac:dyDescent="0.25">
      <c r="A5">
        <v>1</v>
      </c>
      <c r="B5" t="s">
        <v>410</v>
      </c>
      <c r="C5" t="s">
        <v>411</v>
      </c>
      <c r="D5" t="s">
        <v>336</v>
      </c>
      <c r="E5" s="13"/>
      <c r="F5" s="4">
        <v>877051</v>
      </c>
      <c r="G5" s="13">
        <v>46162</v>
      </c>
      <c r="H5">
        <v>157</v>
      </c>
      <c r="I5" s="4">
        <v>67905</v>
      </c>
      <c r="J5" t="s">
        <v>412</v>
      </c>
      <c r="K5" t="s">
        <v>413</v>
      </c>
    </row>
    <row r="6" spans="1:11" x14ac:dyDescent="0.25">
      <c r="A6">
        <v>2</v>
      </c>
      <c r="B6" t="s">
        <v>414</v>
      </c>
      <c r="C6" t="s">
        <v>411</v>
      </c>
      <c r="D6" t="s">
        <v>238</v>
      </c>
      <c r="E6" s="13">
        <v>46143</v>
      </c>
      <c r="F6" s="4">
        <v>4188.06</v>
      </c>
      <c r="G6" s="13">
        <v>46193</v>
      </c>
      <c r="H6">
        <v>126</v>
      </c>
      <c r="I6" s="4">
        <v>260</v>
      </c>
      <c r="J6" t="s">
        <v>415</v>
      </c>
      <c r="K6" t="s">
        <v>416</v>
      </c>
    </row>
    <row r="7" spans="1:11" x14ac:dyDescent="0.25">
      <c r="A7">
        <v>2</v>
      </c>
      <c r="B7" t="s">
        <v>414</v>
      </c>
      <c r="C7" t="s">
        <v>411</v>
      </c>
      <c r="D7" t="s">
        <v>233</v>
      </c>
      <c r="E7" s="13">
        <v>46143</v>
      </c>
      <c r="F7" s="4">
        <v>26506.08</v>
      </c>
      <c r="G7" s="13">
        <v>46193</v>
      </c>
      <c r="H7">
        <v>126</v>
      </c>
      <c r="I7" s="4">
        <v>1647</v>
      </c>
      <c r="J7" t="s">
        <v>415</v>
      </c>
      <c r="K7" t="s">
        <v>416</v>
      </c>
    </row>
    <row r="8" spans="1:11" x14ac:dyDescent="0.25">
      <c r="A8">
        <v>2</v>
      </c>
      <c r="B8" t="s">
        <v>414</v>
      </c>
      <c r="C8" t="s">
        <v>411</v>
      </c>
      <c r="D8" t="s">
        <v>242</v>
      </c>
      <c r="E8" s="13">
        <v>46174</v>
      </c>
      <c r="F8" s="4">
        <v>2081.16</v>
      </c>
      <c r="G8" s="13">
        <v>46223</v>
      </c>
      <c r="H8">
        <v>96</v>
      </c>
      <c r="I8" s="4">
        <v>99</v>
      </c>
      <c r="J8" t="s">
        <v>417</v>
      </c>
      <c r="K8" t="s">
        <v>416</v>
      </c>
    </row>
    <row r="9" spans="1:11" x14ac:dyDescent="0.25">
      <c r="A9">
        <v>3</v>
      </c>
      <c r="B9" t="s">
        <v>418</v>
      </c>
      <c r="C9" t="s">
        <v>411</v>
      </c>
      <c r="E9" s="13"/>
      <c r="F9" s="4">
        <v>0</v>
      </c>
      <c r="G9" s="13"/>
      <c r="H9">
        <v>0</v>
      </c>
      <c r="I9" s="4">
        <v>0</v>
      </c>
      <c r="K9" t="s">
        <v>419</v>
      </c>
    </row>
    <row r="10" spans="1:11" x14ac:dyDescent="0.25">
      <c r="A10">
        <v>4</v>
      </c>
      <c r="B10" t="s">
        <v>420</v>
      </c>
      <c r="C10" t="s">
        <v>411</v>
      </c>
      <c r="E10" s="13"/>
      <c r="F10" s="4">
        <v>2475430</v>
      </c>
      <c r="G10" s="13"/>
      <c r="H10">
        <v>0</v>
      </c>
      <c r="I10" s="4">
        <v>0</v>
      </c>
      <c r="K10" t="s">
        <v>421</v>
      </c>
    </row>
    <row r="11" spans="1:11" x14ac:dyDescent="0.25">
      <c r="A11">
        <v>5</v>
      </c>
      <c r="B11" t="s">
        <v>422</v>
      </c>
      <c r="C11" t="s">
        <v>411</v>
      </c>
      <c r="E11" s="13"/>
      <c r="F11" s="4">
        <v>0</v>
      </c>
      <c r="G11" s="13"/>
      <c r="H11">
        <v>0</v>
      </c>
      <c r="I11" s="4">
        <v>0</v>
      </c>
      <c r="K11" t="s">
        <v>423</v>
      </c>
    </row>
    <row r="12" spans="1:11" x14ac:dyDescent="0.25">
      <c r="A12">
        <v>6</v>
      </c>
      <c r="B12" t="s">
        <v>424</v>
      </c>
      <c r="C12" t="s">
        <v>411</v>
      </c>
      <c r="D12" t="s">
        <v>347</v>
      </c>
      <c r="E12" s="13">
        <v>46174</v>
      </c>
      <c r="F12" s="4">
        <v>378000</v>
      </c>
      <c r="G12" s="13"/>
      <c r="H12">
        <v>0</v>
      </c>
      <c r="I12" s="4">
        <v>0</v>
      </c>
      <c r="K12" t="s">
        <v>425</v>
      </c>
    </row>
    <row r="13" spans="1:9" x14ac:dyDescent="0.25">
      <c r="A13" s="8" t="s">
        <v>111</v>
      </c>
      <c r="F13" s="9">
        <f>SUBTOTAL(9,F5:F12)</f>
      </c>
      <c r="I13" s="9">
        <f>SUBTOTAL(9,I5:I12)</f>
      </c>
    </row>
  </sheetData>
  <autoFilter ref="A4:K12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&amp;LHIRA Associates | Your GST Compliance Partner&amp;RPage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" customWidth="1"/>
    <col min="3" max="3" width="50" customWidth="1"/>
    <col min="4" max="4" width="10" customWidth="1"/>
    <col min="5" max="5" width="20" customWidth="1"/>
    <col min="6" max="6" width="30" customWidth="1"/>
    <col min="7" max="7" width="60" customWidth="1"/>
    <col min="8" max="8" width="40" customWidth="1"/>
    <col min="9" max="9" width="10" customWidth="1"/>
    <col min="10" max="10" width="18" customWidth="1"/>
    <col min="11" max="11" width="12" customWidth="1"/>
    <col min="12" max="12" width="18" customWidth="1"/>
    <col min="13" max="13" width="12" customWidth="1"/>
  </cols>
  <sheetData>
    <row r="1" spans="1:1" x14ac:dyDescent="0.25">
      <c r="A1" s="5" t="s">
        <v>34</v>
      </c>
    </row>
    <row r="2" spans="1:1" x14ac:dyDescent="0.25">
      <c r="A2" s="10" t="s">
        <v>426</v>
      </c>
    </row>
    <row r="4" ht="30" customHeight="1" spans="1:13" x14ac:dyDescent="0.25">
      <c r="A4" s="11" t="s">
        <v>427</v>
      </c>
      <c r="B4" s="11" t="s">
        <v>112</v>
      </c>
      <c r="C4" s="11" t="s">
        <v>77</v>
      </c>
      <c r="D4" s="11" t="s">
        <v>81</v>
      </c>
      <c r="E4" s="11" t="s">
        <v>87</v>
      </c>
      <c r="F4" s="11" t="s">
        <v>428</v>
      </c>
      <c r="G4" s="11" t="s">
        <v>429</v>
      </c>
      <c r="H4" s="11" t="s">
        <v>430</v>
      </c>
      <c r="I4" s="11" t="s">
        <v>395</v>
      </c>
      <c r="J4" s="11" t="s">
        <v>431</v>
      </c>
      <c r="K4" s="11" t="s">
        <v>432</v>
      </c>
      <c r="L4" s="11" t="s">
        <v>433</v>
      </c>
      <c r="M4" s="11" t="s">
        <v>434</v>
      </c>
    </row>
    <row r="5" spans="1:13" x14ac:dyDescent="0.25">
      <c r="A5" t="s">
        <v>435</v>
      </c>
      <c r="B5" t="s">
        <v>436</v>
      </c>
      <c r="C5" t="s">
        <v>437</v>
      </c>
      <c r="D5" t="s">
        <v>161</v>
      </c>
      <c r="E5" t="s">
        <v>438</v>
      </c>
      <c r="I5">
        <v>0</v>
      </c>
      <c r="K5" s="13"/>
      <c r="M5" s="13"/>
    </row>
    <row r="6" spans="1:13" x14ac:dyDescent="0.25">
      <c r="A6" t="s">
        <v>439</v>
      </c>
      <c r="B6" t="s">
        <v>436</v>
      </c>
      <c r="C6" t="s">
        <v>440</v>
      </c>
      <c r="D6" t="s">
        <v>97</v>
      </c>
      <c r="E6" t="s">
        <v>438</v>
      </c>
      <c r="I6">
        <v>0</v>
      </c>
      <c r="K6" s="13"/>
      <c r="M6" s="13"/>
    </row>
    <row r="7" spans="1:13" x14ac:dyDescent="0.25">
      <c r="A7" t="s">
        <v>441</v>
      </c>
      <c r="B7" t="s">
        <v>436</v>
      </c>
      <c r="C7" t="s">
        <v>442</v>
      </c>
      <c r="D7" t="s">
        <v>97</v>
      </c>
      <c r="E7" t="s">
        <v>438</v>
      </c>
      <c r="I7">
        <v>0</v>
      </c>
      <c r="K7" s="13"/>
      <c r="M7" s="13"/>
    </row>
    <row r="8" spans="1:13" x14ac:dyDescent="0.25">
      <c r="A8" t="s">
        <v>443</v>
      </c>
      <c r="B8" t="s">
        <v>436</v>
      </c>
      <c r="C8" t="s">
        <v>444</v>
      </c>
      <c r="D8" t="s">
        <v>161</v>
      </c>
      <c r="E8" t="s">
        <v>445</v>
      </c>
      <c r="G8" t="s">
        <v>446</v>
      </c>
      <c r="I8">
        <v>0</v>
      </c>
      <c r="J8" t="s">
        <v>447</v>
      </c>
      <c r="K8" s="13">
        <v>46319</v>
      </c>
      <c r="M8" s="13"/>
    </row>
    <row r="9" spans="1:13" x14ac:dyDescent="0.25">
      <c r="A9" t="s">
        <v>448</v>
      </c>
      <c r="B9" t="s">
        <v>436</v>
      </c>
      <c r="C9" t="s">
        <v>449</v>
      </c>
      <c r="D9" t="s">
        <v>311</v>
      </c>
      <c r="E9" t="s">
        <v>438</v>
      </c>
      <c r="I9">
        <v>0</v>
      </c>
      <c r="K9" s="13"/>
      <c r="M9" s="13"/>
    </row>
    <row r="10" spans="1:13" x14ac:dyDescent="0.25">
      <c r="A10" t="s">
        <v>450</v>
      </c>
      <c r="B10" t="s">
        <v>436</v>
      </c>
      <c r="C10" t="s">
        <v>451</v>
      </c>
      <c r="D10" t="s">
        <v>97</v>
      </c>
      <c r="E10" t="s">
        <v>438</v>
      </c>
      <c r="I10">
        <v>0</v>
      </c>
      <c r="K10" s="13"/>
      <c r="M10" s="13"/>
    </row>
    <row r="11" spans="1:13" x14ac:dyDescent="0.25">
      <c r="A11" t="s">
        <v>452</v>
      </c>
      <c r="B11" t="s">
        <v>129</v>
      </c>
      <c r="C11" t="s">
        <v>453</v>
      </c>
      <c r="D11" t="s">
        <v>97</v>
      </c>
      <c r="E11" t="s">
        <v>454</v>
      </c>
      <c r="G11" t="s">
        <v>455</v>
      </c>
      <c r="I11">
        <v>6</v>
      </c>
      <c r="J11" t="s">
        <v>447</v>
      </c>
      <c r="K11" s="13">
        <v>46319</v>
      </c>
      <c r="M11" s="13"/>
    </row>
    <row r="12" spans="1:13" x14ac:dyDescent="0.25">
      <c r="A12" t="s">
        <v>456</v>
      </c>
      <c r="B12" t="s">
        <v>129</v>
      </c>
      <c r="C12" t="s">
        <v>457</v>
      </c>
      <c r="D12" t="s">
        <v>92</v>
      </c>
      <c r="E12" t="s">
        <v>454</v>
      </c>
      <c r="G12" t="s">
        <v>458</v>
      </c>
      <c r="I12">
        <v>3</v>
      </c>
      <c r="J12" t="s">
        <v>447</v>
      </c>
      <c r="K12" s="13">
        <v>46319</v>
      </c>
      <c r="M12" s="13"/>
    </row>
    <row r="13" spans="1:13" x14ac:dyDescent="0.25">
      <c r="A13" t="s">
        <v>459</v>
      </c>
      <c r="B13" t="s">
        <v>129</v>
      </c>
      <c r="C13" t="s">
        <v>460</v>
      </c>
      <c r="D13" t="s">
        <v>161</v>
      </c>
      <c r="E13" t="s">
        <v>445</v>
      </c>
      <c r="G13" t="s">
        <v>446</v>
      </c>
      <c r="I13">
        <v>0</v>
      </c>
      <c r="J13" t="s">
        <v>447</v>
      </c>
      <c r="K13" s="13">
        <v>46319</v>
      </c>
      <c r="M13" s="13"/>
    </row>
    <row r="14" spans="1:13" x14ac:dyDescent="0.25">
      <c r="A14" t="s">
        <v>461</v>
      </c>
      <c r="B14" t="s">
        <v>129</v>
      </c>
      <c r="C14" t="s">
        <v>462</v>
      </c>
      <c r="D14" t="s">
        <v>97</v>
      </c>
      <c r="E14" t="s">
        <v>445</v>
      </c>
      <c r="G14" t="s">
        <v>446</v>
      </c>
      <c r="I14">
        <v>0</v>
      </c>
      <c r="J14" t="s">
        <v>447</v>
      </c>
      <c r="K14" s="13">
        <v>46319</v>
      </c>
      <c r="M14" s="13"/>
    </row>
    <row r="15" spans="1:13" x14ac:dyDescent="0.25">
      <c r="A15" t="s">
        <v>463</v>
      </c>
      <c r="B15" t="s">
        <v>129</v>
      </c>
      <c r="C15" t="s">
        <v>464</v>
      </c>
      <c r="D15" t="s">
        <v>97</v>
      </c>
      <c r="E15" t="s">
        <v>445</v>
      </c>
      <c r="G15" t="s">
        <v>446</v>
      </c>
      <c r="I15">
        <v>0</v>
      </c>
      <c r="J15" t="s">
        <v>447</v>
      </c>
      <c r="K15" s="13">
        <v>46319</v>
      </c>
      <c r="M15" s="13"/>
    </row>
    <row r="16" spans="1:13" x14ac:dyDescent="0.25">
      <c r="A16" t="s">
        <v>465</v>
      </c>
      <c r="B16" t="s">
        <v>129</v>
      </c>
      <c r="C16" t="s">
        <v>466</v>
      </c>
      <c r="D16" t="s">
        <v>97</v>
      </c>
      <c r="E16" t="s">
        <v>445</v>
      </c>
      <c r="G16" t="s">
        <v>446</v>
      </c>
      <c r="I16">
        <v>0</v>
      </c>
      <c r="J16" t="s">
        <v>447</v>
      </c>
      <c r="K16" s="13">
        <v>46319</v>
      </c>
      <c r="M16" s="13"/>
    </row>
    <row r="17" spans="1:13" x14ac:dyDescent="0.25">
      <c r="A17" t="s">
        <v>467</v>
      </c>
      <c r="B17" t="s">
        <v>129</v>
      </c>
      <c r="C17" t="s">
        <v>468</v>
      </c>
      <c r="D17" t="s">
        <v>161</v>
      </c>
      <c r="E17" t="s">
        <v>454</v>
      </c>
      <c r="G17" t="s">
        <v>469</v>
      </c>
      <c r="I17">
        <v>1</v>
      </c>
      <c r="J17" t="s">
        <v>447</v>
      </c>
      <c r="K17" s="13">
        <v>46319</v>
      </c>
      <c r="M17" s="13"/>
    </row>
    <row r="18" spans="1:13" x14ac:dyDescent="0.25">
      <c r="A18" t="s">
        <v>470</v>
      </c>
      <c r="B18" t="s">
        <v>129</v>
      </c>
      <c r="C18" t="s">
        <v>471</v>
      </c>
      <c r="D18" t="s">
        <v>97</v>
      </c>
      <c r="E18" t="s">
        <v>438</v>
      </c>
      <c r="I18">
        <v>0</v>
      </c>
      <c r="K18" s="13"/>
      <c r="M18" s="13"/>
    </row>
    <row r="19" spans="1:13" x14ac:dyDescent="0.25">
      <c r="A19" t="s">
        <v>472</v>
      </c>
      <c r="B19" t="s">
        <v>129</v>
      </c>
      <c r="C19" t="s">
        <v>473</v>
      </c>
      <c r="D19" t="s">
        <v>161</v>
      </c>
      <c r="E19" t="s">
        <v>438</v>
      </c>
      <c r="I19">
        <v>0</v>
      </c>
      <c r="K19" s="13"/>
      <c r="M19" s="13"/>
    </row>
    <row r="20" spans="1:13" x14ac:dyDescent="0.25">
      <c r="A20" t="s">
        <v>474</v>
      </c>
      <c r="B20" t="s">
        <v>129</v>
      </c>
      <c r="C20" t="s">
        <v>475</v>
      </c>
      <c r="D20" t="s">
        <v>161</v>
      </c>
      <c r="E20" t="s">
        <v>438</v>
      </c>
      <c r="I20">
        <v>0</v>
      </c>
      <c r="K20" s="13"/>
      <c r="M20" s="13"/>
    </row>
    <row r="21" spans="1:13" x14ac:dyDescent="0.25">
      <c r="A21" t="s">
        <v>476</v>
      </c>
      <c r="B21" t="s">
        <v>129</v>
      </c>
      <c r="C21" t="s">
        <v>477</v>
      </c>
      <c r="D21" t="s">
        <v>161</v>
      </c>
      <c r="E21" t="s">
        <v>438</v>
      </c>
      <c r="I21">
        <v>0</v>
      </c>
      <c r="K21" s="13"/>
      <c r="M21" s="13"/>
    </row>
    <row r="22" spans="1:13" x14ac:dyDescent="0.25">
      <c r="A22" t="s">
        <v>478</v>
      </c>
      <c r="B22" t="s">
        <v>129</v>
      </c>
      <c r="C22" t="s">
        <v>479</v>
      </c>
      <c r="D22" t="s">
        <v>161</v>
      </c>
      <c r="E22" t="s">
        <v>438</v>
      </c>
      <c r="I22">
        <v>0</v>
      </c>
      <c r="K22" s="13"/>
      <c r="M22" s="13"/>
    </row>
    <row r="23" spans="1:13" x14ac:dyDescent="0.25">
      <c r="A23" t="s">
        <v>480</v>
      </c>
      <c r="B23" t="s">
        <v>129</v>
      </c>
      <c r="C23" t="s">
        <v>481</v>
      </c>
      <c r="D23" t="s">
        <v>161</v>
      </c>
      <c r="E23" t="s">
        <v>438</v>
      </c>
      <c r="I23">
        <v>0</v>
      </c>
      <c r="K23" s="13"/>
      <c r="M23" s="13"/>
    </row>
    <row r="24" spans="1:13" x14ac:dyDescent="0.25">
      <c r="A24" t="s">
        <v>482</v>
      </c>
      <c r="B24" t="s">
        <v>181</v>
      </c>
      <c r="C24" t="s">
        <v>483</v>
      </c>
      <c r="D24" t="s">
        <v>92</v>
      </c>
      <c r="E24" t="s">
        <v>454</v>
      </c>
      <c r="G24" t="s">
        <v>484</v>
      </c>
      <c r="I24">
        <v>8</v>
      </c>
      <c r="J24" t="s">
        <v>447</v>
      </c>
      <c r="K24" s="13">
        <v>46319</v>
      </c>
      <c r="M24" s="13"/>
    </row>
    <row r="25" spans="1:13" x14ac:dyDescent="0.25">
      <c r="A25" t="s">
        <v>485</v>
      </c>
      <c r="B25" t="s">
        <v>181</v>
      </c>
      <c r="C25" t="s">
        <v>486</v>
      </c>
      <c r="D25" t="s">
        <v>97</v>
      </c>
      <c r="E25" t="s">
        <v>445</v>
      </c>
      <c r="G25" t="s">
        <v>446</v>
      </c>
      <c r="I25">
        <v>0</v>
      </c>
      <c r="J25" t="s">
        <v>447</v>
      </c>
      <c r="K25" s="13">
        <v>46319</v>
      </c>
      <c r="M25" s="13"/>
    </row>
    <row r="26" spans="1:13" x14ac:dyDescent="0.25">
      <c r="A26" t="s">
        <v>487</v>
      </c>
      <c r="B26" t="s">
        <v>181</v>
      </c>
      <c r="C26" t="s">
        <v>488</v>
      </c>
      <c r="D26" t="s">
        <v>97</v>
      </c>
      <c r="E26" t="s">
        <v>445</v>
      </c>
      <c r="G26" t="s">
        <v>446</v>
      </c>
      <c r="I26">
        <v>0</v>
      </c>
      <c r="J26" t="s">
        <v>447</v>
      </c>
      <c r="K26" s="13">
        <v>46319</v>
      </c>
      <c r="M26" s="13"/>
    </row>
    <row r="27" spans="1:13" x14ac:dyDescent="0.25">
      <c r="A27" t="s">
        <v>489</v>
      </c>
      <c r="B27" t="s">
        <v>181</v>
      </c>
      <c r="C27" t="s">
        <v>490</v>
      </c>
      <c r="D27" t="s">
        <v>97</v>
      </c>
      <c r="E27" t="s">
        <v>454</v>
      </c>
      <c r="G27" t="s">
        <v>491</v>
      </c>
      <c r="I27">
        <v>2</v>
      </c>
      <c r="J27" t="s">
        <v>447</v>
      </c>
      <c r="K27" s="13">
        <v>46319</v>
      </c>
      <c r="M27" s="13"/>
    </row>
    <row r="28" spans="1:13" x14ac:dyDescent="0.25">
      <c r="A28" t="s">
        <v>492</v>
      </c>
      <c r="B28" t="s">
        <v>181</v>
      </c>
      <c r="C28" t="s">
        <v>493</v>
      </c>
      <c r="D28" t="s">
        <v>161</v>
      </c>
      <c r="E28" t="s">
        <v>438</v>
      </c>
      <c r="I28">
        <v>0</v>
      </c>
      <c r="K28" s="13"/>
      <c r="M28" s="13"/>
    </row>
    <row r="29" spans="1:13" x14ac:dyDescent="0.25">
      <c r="A29" t="s">
        <v>494</v>
      </c>
      <c r="B29" t="s">
        <v>181</v>
      </c>
      <c r="C29" t="s">
        <v>495</v>
      </c>
      <c r="D29" t="s">
        <v>161</v>
      </c>
      <c r="E29" t="s">
        <v>438</v>
      </c>
      <c r="I29">
        <v>0</v>
      </c>
      <c r="K29" s="13"/>
      <c r="M29" s="13"/>
    </row>
    <row r="30" spans="1:13" x14ac:dyDescent="0.25">
      <c r="A30" t="s">
        <v>496</v>
      </c>
      <c r="B30" t="s">
        <v>181</v>
      </c>
      <c r="C30" t="s">
        <v>497</v>
      </c>
      <c r="D30" t="s">
        <v>97</v>
      </c>
      <c r="E30" t="s">
        <v>438</v>
      </c>
      <c r="I30">
        <v>0</v>
      </c>
      <c r="K30" s="13"/>
      <c r="M30" s="13"/>
    </row>
    <row r="31" spans="1:13" x14ac:dyDescent="0.25">
      <c r="A31" t="s">
        <v>498</v>
      </c>
      <c r="B31" t="s">
        <v>181</v>
      </c>
      <c r="C31" t="s">
        <v>499</v>
      </c>
      <c r="D31" t="s">
        <v>97</v>
      </c>
      <c r="E31" t="s">
        <v>438</v>
      </c>
      <c r="I31">
        <v>0</v>
      </c>
      <c r="K31" s="13"/>
      <c r="M31" s="13"/>
    </row>
    <row r="32" spans="1:13" x14ac:dyDescent="0.25">
      <c r="A32" t="s">
        <v>500</v>
      </c>
      <c r="B32" t="s">
        <v>181</v>
      </c>
      <c r="C32" t="s">
        <v>501</v>
      </c>
      <c r="D32" t="s">
        <v>97</v>
      </c>
      <c r="E32" t="s">
        <v>445</v>
      </c>
      <c r="G32" t="s">
        <v>446</v>
      </c>
      <c r="I32">
        <v>0</v>
      </c>
      <c r="J32" t="s">
        <v>447</v>
      </c>
      <c r="K32" s="13">
        <v>46319</v>
      </c>
      <c r="M32" s="13"/>
    </row>
    <row r="33" spans="1:13" x14ac:dyDescent="0.25">
      <c r="A33" t="s">
        <v>502</v>
      </c>
      <c r="B33" t="s">
        <v>181</v>
      </c>
      <c r="C33" t="s">
        <v>503</v>
      </c>
      <c r="D33" t="s">
        <v>161</v>
      </c>
      <c r="E33" t="s">
        <v>438</v>
      </c>
      <c r="I33">
        <v>0</v>
      </c>
      <c r="K33" s="13"/>
      <c r="M33" s="13"/>
    </row>
    <row r="34" spans="1:13" x14ac:dyDescent="0.25">
      <c r="A34" t="s">
        <v>504</v>
      </c>
      <c r="B34" t="s">
        <v>181</v>
      </c>
      <c r="C34" t="s">
        <v>505</v>
      </c>
      <c r="D34" t="s">
        <v>161</v>
      </c>
      <c r="E34" t="s">
        <v>438</v>
      </c>
      <c r="I34">
        <v>0</v>
      </c>
      <c r="K34" s="13"/>
      <c r="M34" s="13"/>
    </row>
    <row r="35" spans="1:13" x14ac:dyDescent="0.25">
      <c r="A35" t="s">
        <v>506</v>
      </c>
      <c r="B35" t="s">
        <v>181</v>
      </c>
      <c r="C35" t="s">
        <v>507</v>
      </c>
      <c r="D35" t="s">
        <v>161</v>
      </c>
      <c r="E35" t="s">
        <v>438</v>
      </c>
      <c r="I35">
        <v>0</v>
      </c>
      <c r="K35" s="13"/>
      <c r="M35" s="13"/>
    </row>
    <row r="36" spans="1:13" x14ac:dyDescent="0.25">
      <c r="A36" t="s">
        <v>508</v>
      </c>
      <c r="B36" t="s">
        <v>181</v>
      </c>
      <c r="C36" t="s">
        <v>509</v>
      </c>
      <c r="D36" t="s">
        <v>161</v>
      </c>
      <c r="E36" t="s">
        <v>438</v>
      </c>
      <c r="I36">
        <v>0</v>
      </c>
      <c r="K36" s="13"/>
      <c r="M36" s="13"/>
    </row>
    <row r="37" spans="1:13" x14ac:dyDescent="0.25">
      <c r="A37" t="s">
        <v>510</v>
      </c>
      <c r="B37" t="s">
        <v>181</v>
      </c>
      <c r="C37" t="s">
        <v>511</v>
      </c>
      <c r="D37" t="s">
        <v>161</v>
      </c>
      <c r="E37" t="s">
        <v>438</v>
      </c>
      <c r="I37">
        <v>0</v>
      </c>
      <c r="K37" s="13"/>
      <c r="M37" s="13"/>
    </row>
    <row r="38" spans="1:13" x14ac:dyDescent="0.25">
      <c r="A38" t="s">
        <v>512</v>
      </c>
      <c r="B38" t="s">
        <v>181</v>
      </c>
      <c r="C38" t="s">
        <v>513</v>
      </c>
      <c r="D38" t="s">
        <v>97</v>
      </c>
      <c r="E38" t="s">
        <v>438</v>
      </c>
      <c r="I38">
        <v>0</v>
      </c>
      <c r="K38" s="13"/>
      <c r="M38" s="13"/>
    </row>
    <row r="39" spans="1:13" x14ac:dyDescent="0.25">
      <c r="A39" t="s">
        <v>514</v>
      </c>
      <c r="B39" t="s">
        <v>231</v>
      </c>
      <c r="C39" t="s">
        <v>515</v>
      </c>
      <c r="D39" t="s">
        <v>97</v>
      </c>
      <c r="E39" t="s">
        <v>454</v>
      </c>
      <c r="G39" t="s">
        <v>491</v>
      </c>
      <c r="I39">
        <v>2</v>
      </c>
      <c r="J39" t="s">
        <v>447</v>
      </c>
      <c r="K39" s="13">
        <v>46319</v>
      </c>
      <c r="M39" s="13"/>
    </row>
    <row r="40" spans="1:13" x14ac:dyDescent="0.25">
      <c r="A40" t="s">
        <v>516</v>
      </c>
      <c r="B40" t="s">
        <v>231</v>
      </c>
      <c r="C40" t="s">
        <v>517</v>
      </c>
      <c r="D40" t="s">
        <v>97</v>
      </c>
      <c r="E40" t="s">
        <v>518</v>
      </c>
      <c r="G40" t="s">
        <v>519</v>
      </c>
      <c r="I40">
        <v>3</v>
      </c>
      <c r="J40" t="s">
        <v>447</v>
      </c>
      <c r="K40" s="13">
        <v>46319</v>
      </c>
      <c r="M40" s="13"/>
    </row>
    <row r="41" spans="1:13" x14ac:dyDescent="0.25">
      <c r="A41" t="s">
        <v>520</v>
      </c>
      <c r="B41" t="s">
        <v>231</v>
      </c>
      <c r="C41" t="s">
        <v>521</v>
      </c>
      <c r="D41" t="s">
        <v>161</v>
      </c>
      <c r="E41" t="s">
        <v>445</v>
      </c>
      <c r="G41" t="s">
        <v>446</v>
      </c>
      <c r="I41">
        <v>0</v>
      </c>
      <c r="J41" t="s">
        <v>447</v>
      </c>
      <c r="K41" s="13">
        <v>46319</v>
      </c>
      <c r="M41" s="13"/>
    </row>
    <row r="42" spans="1:13" x14ac:dyDescent="0.25">
      <c r="A42" t="s">
        <v>522</v>
      </c>
      <c r="B42" t="s">
        <v>231</v>
      </c>
      <c r="C42" t="s">
        <v>523</v>
      </c>
      <c r="D42" t="s">
        <v>97</v>
      </c>
      <c r="E42" t="s">
        <v>438</v>
      </c>
      <c r="I42">
        <v>0</v>
      </c>
      <c r="K42" s="13"/>
      <c r="M42" s="13"/>
    </row>
    <row r="43" spans="1:13" x14ac:dyDescent="0.25">
      <c r="A43" t="s">
        <v>524</v>
      </c>
      <c r="B43" t="s">
        <v>231</v>
      </c>
      <c r="C43" t="s">
        <v>525</v>
      </c>
      <c r="D43" t="s">
        <v>161</v>
      </c>
      <c r="E43" t="s">
        <v>438</v>
      </c>
      <c r="I43">
        <v>0</v>
      </c>
      <c r="K43" s="13"/>
      <c r="M43" s="13"/>
    </row>
    <row r="44" spans="1:13" x14ac:dyDescent="0.25">
      <c r="A44" t="s">
        <v>526</v>
      </c>
      <c r="B44" t="s">
        <v>231</v>
      </c>
      <c r="C44" t="s">
        <v>527</v>
      </c>
      <c r="D44" t="s">
        <v>161</v>
      </c>
      <c r="E44" t="s">
        <v>438</v>
      </c>
      <c r="I44">
        <v>0</v>
      </c>
      <c r="K44" s="13"/>
      <c r="M44" s="13"/>
    </row>
    <row r="45" spans="1:13" x14ac:dyDescent="0.25">
      <c r="A45" t="s">
        <v>528</v>
      </c>
      <c r="B45" t="s">
        <v>231</v>
      </c>
      <c r="C45" t="s">
        <v>529</v>
      </c>
      <c r="D45" t="s">
        <v>161</v>
      </c>
      <c r="E45" t="s">
        <v>438</v>
      </c>
      <c r="I45">
        <v>0</v>
      </c>
      <c r="K45" s="13"/>
      <c r="M45" s="13"/>
    </row>
    <row r="46" spans="1:13" x14ac:dyDescent="0.25">
      <c r="A46" t="s">
        <v>530</v>
      </c>
      <c r="B46" t="s">
        <v>231</v>
      </c>
      <c r="C46" t="s">
        <v>531</v>
      </c>
      <c r="D46" t="s">
        <v>311</v>
      </c>
      <c r="E46" t="s">
        <v>438</v>
      </c>
      <c r="I46">
        <v>0</v>
      </c>
      <c r="K46" s="13"/>
      <c r="M46" s="13"/>
    </row>
    <row r="47" spans="1:13" x14ac:dyDescent="0.25">
      <c r="A47" t="s">
        <v>532</v>
      </c>
      <c r="B47" t="s">
        <v>231</v>
      </c>
      <c r="C47" t="s">
        <v>533</v>
      </c>
      <c r="D47" t="s">
        <v>97</v>
      </c>
      <c r="E47" t="s">
        <v>438</v>
      </c>
      <c r="I47">
        <v>0</v>
      </c>
      <c r="K47" s="13"/>
      <c r="M47" s="13"/>
    </row>
    <row r="48" spans="1:13" x14ac:dyDescent="0.25">
      <c r="A48" t="s">
        <v>534</v>
      </c>
      <c r="B48" t="s">
        <v>231</v>
      </c>
      <c r="C48" t="s">
        <v>535</v>
      </c>
      <c r="D48" t="s">
        <v>161</v>
      </c>
      <c r="E48" t="s">
        <v>445</v>
      </c>
      <c r="G48" t="s">
        <v>446</v>
      </c>
      <c r="I48">
        <v>0</v>
      </c>
      <c r="J48" t="s">
        <v>447</v>
      </c>
      <c r="K48" s="13">
        <v>46319</v>
      </c>
      <c r="M48" s="13"/>
    </row>
    <row r="49" spans="1:13" x14ac:dyDescent="0.25">
      <c r="A49" t="s">
        <v>536</v>
      </c>
      <c r="B49" t="s">
        <v>231</v>
      </c>
      <c r="C49" t="s">
        <v>537</v>
      </c>
      <c r="D49" t="s">
        <v>311</v>
      </c>
      <c r="E49" t="s">
        <v>438</v>
      </c>
      <c r="I49">
        <v>0</v>
      </c>
      <c r="K49" s="13"/>
      <c r="M49" s="13"/>
    </row>
    <row r="50" spans="1:13" x14ac:dyDescent="0.25">
      <c r="A50" t="s">
        <v>538</v>
      </c>
      <c r="B50" t="s">
        <v>539</v>
      </c>
      <c r="C50" t="s">
        <v>540</v>
      </c>
      <c r="D50" t="s">
        <v>97</v>
      </c>
      <c r="E50" t="s">
        <v>438</v>
      </c>
      <c r="I50">
        <v>0</v>
      </c>
      <c r="K50" s="13"/>
      <c r="M50" s="13"/>
    </row>
    <row r="51" spans="1:13" x14ac:dyDescent="0.25">
      <c r="A51" t="s">
        <v>541</v>
      </c>
      <c r="B51" t="s">
        <v>539</v>
      </c>
      <c r="C51" t="s">
        <v>542</v>
      </c>
      <c r="D51" t="s">
        <v>161</v>
      </c>
      <c r="E51" t="s">
        <v>438</v>
      </c>
      <c r="I51">
        <v>0</v>
      </c>
      <c r="K51" s="13"/>
      <c r="M51" s="13"/>
    </row>
    <row r="52" spans="1:13" x14ac:dyDescent="0.25">
      <c r="A52" t="s">
        <v>543</v>
      </c>
      <c r="B52" t="s">
        <v>539</v>
      </c>
      <c r="C52" t="s">
        <v>544</v>
      </c>
      <c r="D52" t="s">
        <v>161</v>
      </c>
      <c r="E52" t="s">
        <v>438</v>
      </c>
      <c r="I52">
        <v>0</v>
      </c>
      <c r="K52" s="13"/>
      <c r="M52" s="13"/>
    </row>
    <row r="53" spans="1:13" x14ac:dyDescent="0.25">
      <c r="A53" t="s">
        <v>545</v>
      </c>
      <c r="B53" t="s">
        <v>539</v>
      </c>
      <c r="C53" t="s">
        <v>546</v>
      </c>
      <c r="D53" t="s">
        <v>161</v>
      </c>
      <c r="E53" t="s">
        <v>438</v>
      </c>
      <c r="I53">
        <v>0</v>
      </c>
      <c r="K53" s="13"/>
      <c r="M53" s="13"/>
    </row>
    <row r="54" spans="1:13" x14ac:dyDescent="0.25">
      <c r="A54" t="s">
        <v>547</v>
      </c>
      <c r="B54" t="s">
        <v>539</v>
      </c>
      <c r="C54" t="s">
        <v>548</v>
      </c>
      <c r="D54" t="s">
        <v>161</v>
      </c>
      <c r="E54" t="s">
        <v>438</v>
      </c>
      <c r="I54">
        <v>0</v>
      </c>
      <c r="K54" s="13"/>
      <c r="M54" s="13"/>
    </row>
    <row r="55" spans="1:13" x14ac:dyDescent="0.25">
      <c r="A55" t="s">
        <v>549</v>
      </c>
      <c r="B55" t="s">
        <v>539</v>
      </c>
      <c r="C55" t="s">
        <v>550</v>
      </c>
      <c r="D55" t="s">
        <v>311</v>
      </c>
      <c r="E55" t="s">
        <v>438</v>
      </c>
      <c r="I55">
        <v>0</v>
      </c>
      <c r="K55" s="13"/>
      <c r="M55" s="13"/>
    </row>
    <row r="56" spans="1:13" x14ac:dyDescent="0.25">
      <c r="A56" t="s">
        <v>551</v>
      </c>
      <c r="B56" t="s">
        <v>255</v>
      </c>
      <c r="C56" t="s">
        <v>552</v>
      </c>
      <c r="D56" t="s">
        <v>97</v>
      </c>
      <c r="E56" t="s">
        <v>454</v>
      </c>
      <c r="G56" t="s">
        <v>553</v>
      </c>
      <c r="I56">
        <v>4</v>
      </c>
      <c r="J56" t="s">
        <v>447</v>
      </c>
      <c r="K56" s="13">
        <v>46319</v>
      </c>
      <c r="M56" s="13"/>
    </row>
    <row r="57" spans="1:13" x14ac:dyDescent="0.25">
      <c r="A57" t="s">
        <v>554</v>
      </c>
      <c r="B57" t="s">
        <v>255</v>
      </c>
      <c r="C57" t="s">
        <v>555</v>
      </c>
      <c r="D57" t="s">
        <v>97</v>
      </c>
      <c r="E57" t="s">
        <v>445</v>
      </c>
      <c r="G57" t="s">
        <v>446</v>
      </c>
      <c r="I57">
        <v>0</v>
      </c>
      <c r="J57" t="s">
        <v>447</v>
      </c>
      <c r="K57" s="13">
        <v>46319</v>
      </c>
      <c r="M57" s="13"/>
    </row>
    <row r="58" spans="1:13" x14ac:dyDescent="0.25">
      <c r="A58" t="s">
        <v>556</v>
      </c>
      <c r="B58" t="s">
        <v>255</v>
      </c>
      <c r="C58" t="s">
        <v>557</v>
      </c>
      <c r="D58" t="s">
        <v>97</v>
      </c>
      <c r="E58" t="s">
        <v>438</v>
      </c>
      <c r="I58">
        <v>0</v>
      </c>
      <c r="K58" s="13"/>
      <c r="M58" s="13"/>
    </row>
    <row r="59" spans="1:13" x14ac:dyDescent="0.25">
      <c r="A59" t="s">
        <v>558</v>
      </c>
      <c r="B59" t="s">
        <v>255</v>
      </c>
      <c r="C59" t="s">
        <v>559</v>
      </c>
      <c r="D59" t="s">
        <v>161</v>
      </c>
      <c r="E59" t="s">
        <v>438</v>
      </c>
      <c r="I59">
        <v>0</v>
      </c>
      <c r="K59" s="13"/>
      <c r="M59" s="13"/>
    </row>
    <row r="60" spans="1:13" x14ac:dyDescent="0.25">
      <c r="A60" t="s">
        <v>560</v>
      </c>
      <c r="B60" t="s">
        <v>255</v>
      </c>
      <c r="C60" t="s">
        <v>561</v>
      </c>
      <c r="D60" t="s">
        <v>161</v>
      </c>
      <c r="E60" t="s">
        <v>438</v>
      </c>
      <c r="I60">
        <v>0</v>
      </c>
      <c r="K60" s="13"/>
      <c r="M60" s="13"/>
    </row>
    <row r="61" spans="1:13" x14ac:dyDescent="0.25">
      <c r="A61" t="s">
        <v>562</v>
      </c>
      <c r="B61" t="s">
        <v>255</v>
      </c>
      <c r="C61" t="s">
        <v>563</v>
      </c>
      <c r="D61" t="s">
        <v>311</v>
      </c>
      <c r="E61" t="s">
        <v>438</v>
      </c>
      <c r="I61">
        <v>0</v>
      </c>
      <c r="K61" s="13"/>
      <c r="M61" s="13"/>
    </row>
    <row r="62" spans="1:13" x14ac:dyDescent="0.25">
      <c r="A62" t="s">
        <v>564</v>
      </c>
      <c r="B62" t="s">
        <v>285</v>
      </c>
      <c r="C62" t="s">
        <v>565</v>
      </c>
      <c r="D62" t="s">
        <v>97</v>
      </c>
      <c r="E62" t="s">
        <v>454</v>
      </c>
      <c r="G62" t="s">
        <v>566</v>
      </c>
      <c r="I62">
        <v>8</v>
      </c>
      <c r="J62" t="s">
        <v>447</v>
      </c>
      <c r="K62" s="13">
        <v>46319</v>
      </c>
      <c r="M62" s="13"/>
    </row>
    <row r="63" spans="1:13" x14ac:dyDescent="0.25">
      <c r="A63" t="s">
        <v>567</v>
      </c>
      <c r="B63" t="s">
        <v>285</v>
      </c>
      <c r="C63" t="s">
        <v>568</v>
      </c>
      <c r="D63" t="s">
        <v>97</v>
      </c>
      <c r="E63" t="s">
        <v>445</v>
      </c>
      <c r="G63" t="s">
        <v>446</v>
      </c>
      <c r="I63">
        <v>0</v>
      </c>
      <c r="J63" t="s">
        <v>447</v>
      </c>
      <c r="K63" s="13">
        <v>46319</v>
      </c>
      <c r="M63" s="13"/>
    </row>
    <row r="64" spans="1:13" x14ac:dyDescent="0.25">
      <c r="A64" t="s">
        <v>569</v>
      </c>
      <c r="B64" t="s">
        <v>285</v>
      </c>
      <c r="C64" t="s">
        <v>570</v>
      </c>
      <c r="D64" t="s">
        <v>311</v>
      </c>
      <c r="E64" t="s">
        <v>445</v>
      </c>
      <c r="G64" t="s">
        <v>446</v>
      </c>
      <c r="I64">
        <v>0</v>
      </c>
      <c r="J64" t="s">
        <v>447</v>
      </c>
      <c r="K64" s="13">
        <v>46319</v>
      </c>
      <c r="M64" s="13"/>
    </row>
    <row r="65" spans="1:13" x14ac:dyDescent="0.25">
      <c r="A65" t="s">
        <v>571</v>
      </c>
      <c r="B65" t="s">
        <v>285</v>
      </c>
      <c r="C65" t="s">
        <v>572</v>
      </c>
      <c r="D65" t="s">
        <v>161</v>
      </c>
      <c r="E65" t="s">
        <v>445</v>
      </c>
      <c r="G65" t="s">
        <v>446</v>
      </c>
      <c r="I65">
        <v>0</v>
      </c>
      <c r="J65" t="s">
        <v>447</v>
      </c>
      <c r="K65" s="13">
        <v>46319</v>
      </c>
      <c r="M65" s="13"/>
    </row>
    <row r="66" spans="1:13" x14ac:dyDescent="0.25">
      <c r="A66" t="s">
        <v>573</v>
      </c>
      <c r="B66" t="s">
        <v>285</v>
      </c>
      <c r="C66" t="s">
        <v>574</v>
      </c>
      <c r="D66" t="s">
        <v>161</v>
      </c>
      <c r="E66" t="s">
        <v>438</v>
      </c>
      <c r="I66">
        <v>0</v>
      </c>
      <c r="K66" s="13"/>
      <c r="M66" s="13"/>
    </row>
    <row r="67" spans="1:13" x14ac:dyDescent="0.25">
      <c r="A67" t="s">
        <v>575</v>
      </c>
      <c r="B67" t="s">
        <v>285</v>
      </c>
      <c r="C67" t="s">
        <v>576</v>
      </c>
      <c r="D67" t="s">
        <v>161</v>
      </c>
      <c r="E67" t="s">
        <v>438</v>
      </c>
      <c r="I67">
        <v>0</v>
      </c>
      <c r="K67" s="13"/>
      <c r="M67" s="13"/>
    </row>
    <row r="68" spans="1:13" x14ac:dyDescent="0.25">
      <c r="A68" t="s">
        <v>577</v>
      </c>
      <c r="B68" t="s">
        <v>285</v>
      </c>
      <c r="C68" t="s">
        <v>578</v>
      </c>
      <c r="D68" t="s">
        <v>161</v>
      </c>
      <c r="E68" t="s">
        <v>445</v>
      </c>
      <c r="G68" t="s">
        <v>446</v>
      </c>
      <c r="I68">
        <v>0</v>
      </c>
      <c r="J68" t="s">
        <v>447</v>
      </c>
      <c r="K68" s="13">
        <v>46319</v>
      </c>
      <c r="M68" s="13"/>
    </row>
    <row r="69" spans="1:13" x14ac:dyDescent="0.25">
      <c r="A69" t="s">
        <v>579</v>
      </c>
      <c r="B69" t="s">
        <v>285</v>
      </c>
      <c r="C69" t="s">
        <v>580</v>
      </c>
      <c r="D69" t="s">
        <v>311</v>
      </c>
      <c r="E69" t="s">
        <v>438</v>
      </c>
      <c r="I69">
        <v>0</v>
      </c>
      <c r="K69" s="13"/>
      <c r="M69" s="13"/>
    </row>
    <row r="70" spans="1:13" x14ac:dyDescent="0.25">
      <c r="A70" t="s">
        <v>581</v>
      </c>
      <c r="B70" t="s">
        <v>285</v>
      </c>
      <c r="C70" t="s">
        <v>582</v>
      </c>
      <c r="D70" t="s">
        <v>161</v>
      </c>
      <c r="E70" t="s">
        <v>438</v>
      </c>
      <c r="I70">
        <v>0</v>
      </c>
      <c r="K70" s="13"/>
      <c r="M70" s="13"/>
    </row>
    <row r="71" spans="1:13" x14ac:dyDescent="0.25">
      <c r="A71" t="s">
        <v>583</v>
      </c>
      <c r="B71" t="s">
        <v>285</v>
      </c>
      <c r="C71" t="s">
        <v>584</v>
      </c>
      <c r="D71" t="s">
        <v>311</v>
      </c>
      <c r="E71" t="s">
        <v>438</v>
      </c>
      <c r="I71">
        <v>0</v>
      </c>
      <c r="K71" s="13"/>
      <c r="M71" s="13"/>
    </row>
    <row r="72" spans="1:13" x14ac:dyDescent="0.25">
      <c r="A72" t="s">
        <v>585</v>
      </c>
      <c r="B72" t="s">
        <v>317</v>
      </c>
      <c r="C72" t="s">
        <v>586</v>
      </c>
      <c r="D72" t="s">
        <v>97</v>
      </c>
      <c r="E72" t="s">
        <v>454</v>
      </c>
      <c r="G72" t="s">
        <v>587</v>
      </c>
      <c r="I72">
        <v>4</v>
      </c>
      <c r="J72" t="s">
        <v>447</v>
      </c>
      <c r="K72" s="13">
        <v>46319</v>
      </c>
      <c r="M72" s="13"/>
    </row>
    <row r="73" spans="1:13" x14ac:dyDescent="0.25">
      <c r="A73" t="s">
        <v>588</v>
      </c>
      <c r="B73" t="s">
        <v>317</v>
      </c>
      <c r="C73" t="s">
        <v>589</v>
      </c>
      <c r="D73" t="s">
        <v>161</v>
      </c>
      <c r="E73" t="s">
        <v>445</v>
      </c>
      <c r="G73" t="s">
        <v>446</v>
      </c>
      <c r="I73">
        <v>0</v>
      </c>
      <c r="J73" t="s">
        <v>447</v>
      </c>
      <c r="K73" s="13">
        <v>46319</v>
      </c>
      <c r="M73" s="13"/>
    </row>
    <row r="74" spans="1:13" x14ac:dyDescent="0.25">
      <c r="A74" t="s">
        <v>590</v>
      </c>
      <c r="B74" t="s">
        <v>317</v>
      </c>
      <c r="C74" t="s">
        <v>591</v>
      </c>
      <c r="D74" t="s">
        <v>161</v>
      </c>
      <c r="E74" t="s">
        <v>438</v>
      </c>
      <c r="I74">
        <v>0</v>
      </c>
      <c r="K74" s="13"/>
      <c r="M74" s="13"/>
    </row>
    <row r="75" spans="1:13" x14ac:dyDescent="0.25">
      <c r="A75" t="s">
        <v>592</v>
      </c>
      <c r="B75" t="s">
        <v>317</v>
      </c>
      <c r="C75" t="s">
        <v>593</v>
      </c>
      <c r="D75" t="s">
        <v>161</v>
      </c>
      <c r="E75" t="s">
        <v>438</v>
      </c>
      <c r="I75">
        <v>0</v>
      </c>
      <c r="K75" s="13"/>
      <c r="M75" s="13"/>
    </row>
    <row r="76" spans="1:13" x14ac:dyDescent="0.25">
      <c r="A76" t="s">
        <v>594</v>
      </c>
      <c r="B76" t="s">
        <v>317</v>
      </c>
      <c r="C76" t="s">
        <v>595</v>
      </c>
      <c r="D76" t="s">
        <v>97</v>
      </c>
      <c r="E76" t="s">
        <v>445</v>
      </c>
      <c r="G76" t="s">
        <v>446</v>
      </c>
      <c r="I76">
        <v>0</v>
      </c>
      <c r="J76" t="s">
        <v>447</v>
      </c>
      <c r="K76" s="13">
        <v>46319</v>
      </c>
      <c r="M76" s="13"/>
    </row>
    <row r="77" spans="1:13" x14ac:dyDescent="0.25">
      <c r="A77" t="s">
        <v>596</v>
      </c>
      <c r="B77" t="s">
        <v>317</v>
      </c>
      <c r="C77" t="s">
        <v>597</v>
      </c>
      <c r="D77" t="s">
        <v>97</v>
      </c>
      <c r="E77" t="s">
        <v>438</v>
      </c>
      <c r="I77">
        <v>0</v>
      </c>
      <c r="K77" s="13"/>
      <c r="M77" s="13"/>
    </row>
    <row r="78" spans="1:13" x14ac:dyDescent="0.25">
      <c r="A78" t="s">
        <v>598</v>
      </c>
      <c r="B78" t="s">
        <v>317</v>
      </c>
      <c r="C78" t="s">
        <v>599</v>
      </c>
      <c r="D78" t="s">
        <v>161</v>
      </c>
      <c r="E78" t="s">
        <v>438</v>
      </c>
      <c r="I78">
        <v>0</v>
      </c>
      <c r="K78" s="13"/>
      <c r="M78" s="13"/>
    </row>
    <row r="79" spans="1:13" x14ac:dyDescent="0.25">
      <c r="A79" t="s">
        <v>600</v>
      </c>
      <c r="B79" t="s">
        <v>317</v>
      </c>
      <c r="C79" t="s">
        <v>601</v>
      </c>
      <c r="D79" t="s">
        <v>161</v>
      </c>
      <c r="E79" t="s">
        <v>438</v>
      </c>
      <c r="I79">
        <v>0</v>
      </c>
      <c r="K79" s="13"/>
      <c r="M79" s="13"/>
    </row>
    <row r="80" spans="1:13" x14ac:dyDescent="0.25">
      <c r="A80" t="s">
        <v>602</v>
      </c>
      <c r="B80" t="s">
        <v>317</v>
      </c>
      <c r="C80" t="s">
        <v>603</v>
      </c>
      <c r="D80" t="s">
        <v>161</v>
      </c>
      <c r="E80" t="s">
        <v>438</v>
      </c>
      <c r="I80">
        <v>0</v>
      </c>
      <c r="K80" s="13"/>
      <c r="M80" s="13"/>
    </row>
    <row r="81" spans="1:13" x14ac:dyDescent="0.25">
      <c r="A81" t="s">
        <v>604</v>
      </c>
      <c r="B81" t="s">
        <v>317</v>
      </c>
      <c r="C81" t="s">
        <v>605</v>
      </c>
      <c r="D81" t="s">
        <v>161</v>
      </c>
      <c r="E81" t="s">
        <v>438</v>
      </c>
      <c r="I81">
        <v>0</v>
      </c>
      <c r="K81" s="13"/>
      <c r="M81" s="13"/>
    </row>
    <row r="82" spans="1:13" x14ac:dyDescent="0.25">
      <c r="A82" t="s">
        <v>606</v>
      </c>
      <c r="B82" t="s">
        <v>317</v>
      </c>
      <c r="C82" t="s">
        <v>607</v>
      </c>
      <c r="D82" t="s">
        <v>311</v>
      </c>
      <c r="E82" t="s">
        <v>438</v>
      </c>
      <c r="I82">
        <v>0</v>
      </c>
      <c r="K82" s="13"/>
      <c r="M82" s="13"/>
    </row>
    <row r="83" spans="1:13" x14ac:dyDescent="0.25">
      <c r="A83" t="s">
        <v>608</v>
      </c>
      <c r="B83" t="s">
        <v>609</v>
      </c>
      <c r="C83" t="s">
        <v>610</v>
      </c>
      <c r="D83" t="s">
        <v>97</v>
      </c>
      <c r="E83" t="s">
        <v>438</v>
      </c>
      <c r="I83">
        <v>0</v>
      </c>
      <c r="K83" s="13"/>
      <c r="M83" s="13"/>
    </row>
    <row r="84" spans="1:13" x14ac:dyDescent="0.25">
      <c r="A84" t="s">
        <v>611</v>
      </c>
      <c r="B84" t="s">
        <v>609</v>
      </c>
      <c r="C84" t="s">
        <v>612</v>
      </c>
      <c r="D84" t="s">
        <v>161</v>
      </c>
      <c r="E84" t="s">
        <v>438</v>
      </c>
      <c r="I84">
        <v>0</v>
      </c>
      <c r="K84" s="13"/>
      <c r="M84" s="13"/>
    </row>
    <row r="85" spans="1:13" x14ac:dyDescent="0.25">
      <c r="A85" t="s">
        <v>613</v>
      </c>
      <c r="B85" t="s">
        <v>609</v>
      </c>
      <c r="C85" t="s">
        <v>614</v>
      </c>
      <c r="D85" t="s">
        <v>161</v>
      </c>
      <c r="E85" t="s">
        <v>438</v>
      </c>
      <c r="I85">
        <v>0</v>
      </c>
      <c r="K85" s="13"/>
      <c r="M85" s="13"/>
    </row>
    <row r="86" spans="1:13" x14ac:dyDescent="0.25">
      <c r="A86" t="s">
        <v>615</v>
      </c>
      <c r="B86" t="s">
        <v>609</v>
      </c>
      <c r="C86" t="s">
        <v>616</v>
      </c>
      <c r="D86" t="s">
        <v>92</v>
      </c>
      <c r="E86" t="s">
        <v>445</v>
      </c>
      <c r="G86" t="s">
        <v>446</v>
      </c>
      <c r="I86">
        <v>0</v>
      </c>
      <c r="J86" t="s">
        <v>447</v>
      </c>
      <c r="K86" s="13">
        <v>46319</v>
      </c>
      <c r="M86" s="13"/>
    </row>
    <row r="87" spans="1:13" x14ac:dyDescent="0.25">
      <c r="A87" t="s">
        <v>617</v>
      </c>
      <c r="B87" t="s">
        <v>609</v>
      </c>
      <c r="C87" t="s">
        <v>618</v>
      </c>
      <c r="D87" t="s">
        <v>161</v>
      </c>
      <c r="E87" t="s">
        <v>438</v>
      </c>
      <c r="I87">
        <v>0</v>
      </c>
      <c r="K87" s="13"/>
      <c r="M87" s="13"/>
    </row>
    <row r="88" spans="1:13" x14ac:dyDescent="0.25">
      <c r="A88" t="s">
        <v>619</v>
      </c>
      <c r="B88" t="s">
        <v>609</v>
      </c>
      <c r="C88" t="s">
        <v>620</v>
      </c>
      <c r="D88" t="s">
        <v>311</v>
      </c>
      <c r="E88" t="s">
        <v>438</v>
      </c>
      <c r="I88">
        <v>0</v>
      </c>
      <c r="K88" s="13"/>
      <c r="M88" s="13"/>
    </row>
    <row r="89" spans="1:13" x14ac:dyDescent="0.25">
      <c r="A89" t="s">
        <v>621</v>
      </c>
      <c r="B89" t="s">
        <v>334</v>
      </c>
      <c r="C89" t="s">
        <v>622</v>
      </c>
      <c r="D89" t="s">
        <v>97</v>
      </c>
      <c r="E89" t="s">
        <v>445</v>
      </c>
      <c r="G89" t="s">
        <v>446</v>
      </c>
      <c r="I89">
        <v>0</v>
      </c>
      <c r="J89" t="s">
        <v>447</v>
      </c>
      <c r="K89" s="13">
        <v>46319</v>
      </c>
      <c r="M89" s="13"/>
    </row>
    <row r="90" spans="1:13" x14ac:dyDescent="0.25">
      <c r="A90" t="s">
        <v>623</v>
      </c>
      <c r="B90" t="s">
        <v>334</v>
      </c>
      <c r="C90" t="s">
        <v>624</v>
      </c>
      <c r="D90" t="s">
        <v>161</v>
      </c>
      <c r="E90" t="s">
        <v>438</v>
      </c>
      <c r="I90">
        <v>0</v>
      </c>
      <c r="K90" s="13"/>
      <c r="M90" s="13"/>
    </row>
    <row r="91" spans="1:13" x14ac:dyDescent="0.25">
      <c r="A91" t="s">
        <v>625</v>
      </c>
      <c r="B91" t="s">
        <v>334</v>
      </c>
      <c r="C91" t="s">
        <v>626</v>
      </c>
      <c r="D91" t="s">
        <v>92</v>
      </c>
      <c r="E91" t="s">
        <v>445</v>
      </c>
      <c r="G91" t="s">
        <v>446</v>
      </c>
      <c r="I91">
        <v>0</v>
      </c>
      <c r="J91" t="s">
        <v>447</v>
      </c>
      <c r="K91" s="13">
        <v>46319</v>
      </c>
      <c r="M91" s="13"/>
    </row>
    <row r="92" spans="1:13" x14ac:dyDescent="0.25">
      <c r="A92" t="s">
        <v>627</v>
      </c>
      <c r="B92" t="s">
        <v>334</v>
      </c>
      <c r="C92" t="s">
        <v>628</v>
      </c>
      <c r="D92" t="s">
        <v>161</v>
      </c>
      <c r="E92" t="s">
        <v>438</v>
      </c>
      <c r="I92">
        <v>0</v>
      </c>
      <c r="K92" s="13"/>
      <c r="M92" s="13"/>
    </row>
    <row r="93" spans="1:13" x14ac:dyDescent="0.25">
      <c r="A93" t="s">
        <v>629</v>
      </c>
      <c r="B93" t="s">
        <v>334</v>
      </c>
      <c r="C93" t="s">
        <v>630</v>
      </c>
      <c r="D93" t="s">
        <v>311</v>
      </c>
      <c r="E93" t="s">
        <v>438</v>
      </c>
      <c r="I93">
        <v>0</v>
      </c>
      <c r="K93" s="13"/>
      <c r="M93" s="13"/>
    </row>
    <row r="94" spans="1:13" x14ac:dyDescent="0.25">
      <c r="A94" t="s">
        <v>631</v>
      </c>
      <c r="B94" t="s">
        <v>334</v>
      </c>
      <c r="C94" t="s">
        <v>632</v>
      </c>
      <c r="D94" t="s">
        <v>161</v>
      </c>
      <c r="E94" t="s">
        <v>438</v>
      </c>
      <c r="I94">
        <v>0</v>
      </c>
      <c r="K94" s="13"/>
      <c r="M94" s="13"/>
    </row>
    <row r="95" spans="1:13" x14ac:dyDescent="0.25">
      <c r="A95" t="s">
        <v>633</v>
      </c>
      <c r="B95" t="s">
        <v>334</v>
      </c>
      <c r="C95" t="s">
        <v>634</v>
      </c>
      <c r="D95" t="s">
        <v>161</v>
      </c>
      <c r="E95" t="s">
        <v>438</v>
      </c>
      <c r="I95">
        <v>0</v>
      </c>
      <c r="K95" s="13"/>
      <c r="M95" s="13"/>
    </row>
    <row r="96" spans="1:13" x14ac:dyDescent="0.25">
      <c r="A96" t="s">
        <v>635</v>
      </c>
      <c r="B96" t="s">
        <v>334</v>
      </c>
      <c r="C96" t="s">
        <v>636</v>
      </c>
      <c r="D96" t="s">
        <v>161</v>
      </c>
      <c r="E96" t="s">
        <v>438</v>
      </c>
      <c r="I96">
        <v>0</v>
      </c>
      <c r="K96" s="13"/>
      <c r="M96" s="13"/>
    </row>
    <row r="97" spans="1:13" x14ac:dyDescent="0.25">
      <c r="A97" t="s">
        <v>637</v>
      </c>
      <c r="B97" t="s">
        <v>638</v>
      </c>
      <c r="C97" t="s">
        <v>639</v>
      </c>
      <c r="D97" t="s">
        <v>161</v>
      </c>
      <c r="E97" t="s">
        <v>438</v>
      </c>
      <c r="I97">
        <v>0</v>
      </c>
      <c r="K97" s="13"/>
      <c r="M97" s="13"/>
    </row>
    <row r="98" spans="1:13" x14ac:dyDescent="0.25">
      <c r="A98" t="s">
        <v>640</v>
      </c>
      <c r="B98" t="s">
        <v>638</v>
      </c>
      <c r="C98" t="s">
        <v>641</v>
      </c>
      <c r="D98" t="s">
        <v>97</v>
      </c>
      <c r="E98" t="s">
        <v>438</v>
      </c>
      <c r="I98">
        <v>0</v>
      </c>
      <c r="K98" s="13"/>
      <c r="M98" s="13"/>
    </row>
    <row r="99" spans="1:13" x14ac:dyDescent="0.25">
      <c r="A99" t="s">
        <v>642</v>
      </c>
      <c r="B99" t="s">
        <v>638</v>
      </c>
      <c r="C99" t="s">
        <v>643</v>
      </c>
      <c r="D99" t="s">
        <v>311</v>
      </c>
      <c r="E99" t="s">
        <v>445</v>
      </c>
      <c r="G99" t="s">
        <v>446</v>
      </c>
      <c r="I99">
        <v>0</v>
      </c>
      <c r="J99" t="s">
        <v>447</v>
      </c>
      <c r="K99" s="13">
        <v>46319</v>
      </c>
      <c r="M99" s="13"/>
    </row>
    <row r="100" spans="1:13" x14ac:dyDescent="0.25">
      <c r="A100" t="s">
        <v>644</v>
      </c>
      <c r="B100" t="s">
        <v>638</v>
      </c>
      <c r="C100" t="s">
        <v>645</v>
      </c>
      <c r="D100" t="s">
        <v>161</v>
      </c>
      <c r="E100" t="s">
        <v>445</v>
      </c>
      <c r="G100" t="s">
        <v>446</v>
      </c>
      <c r="I100">
        <v>0</v>
      </c>
      <c r="J100" t="s">
        <v>447</v>
      </c>
      <c r="K100" s="13">
        <v>46319</v>
      </c>
      <c r="M100" s="13"/>
    </row>
    <row r="101" spans="1:13" x14ac:dyDescent="0.25">
      <c r="A101" t="s">
        <v>646</v>
      </c>
      <c r="B101" t="s">
        <v>638</v>
      </c>
      <c r="C101" t="s">
        <v>647</v>
      </c>
      <c r="D101" t="s">
        <v>161</v>
      </c>
      <c r="E101" t="s">
        <v>438</v>
      </c>
      <c r="I101">
        <v>0</v>
      </c>
      <c r="K101" s="13"/>
      <c r="M101" s="13"/>
    </row>
    <row r="102" spans="1:13" x14ac:dyDescent="0.25">
      <c r="A102" t="s">
        <v>648</v>
      </c>
      <c r="B102" t="s">
        <v>638</v>
      </c>
      <c r="C102" t="s">
        <v>649</v>
      </c>
      <c r="D102" t="s">
        <v>311</v>
      </c>
      <c r="E102" t="s">
        <v>438</v>
      </c>
      <c r="I102">
        <v>0</v>
      </c>
      <c r="K102" s="13"/>
      <c r="M102" s="13"/>
    </row>
    <row r="103" spans="1:13" x14ac:dyDescent="0.25">
      <c r="A103" t="s">
        <v>650</v>
      </c>
      <c r="B103" t="s">
        <v>345</v>
      </c>
      <c r="C103" t="s">
        <v>651</v>
      </c>
      <c r="D103" t="s">
        <v>97</v>
      </c>
      <c r="E103" t="s">
        <v>518</v>
      </c>
      <c r="G103" t="s">
        <v>469</v>
      </c>
      <c r="I103">
        <v>1</v>
      </c>
      <c r="J103" t="s">
        <v>447</v>
      </c>
      <c r="K103" s="13">
        <v>46319</v>
      </c>
      <c r="M103" s="13"/>
    </row>
    <row r="104" spans="1:13" x14ac:dyDescent="0.25">
      <c r="A104" t="s">
        <v>652</v>
      </c>
      <c r="B104" t="s">
        <v>345</v>
      </c>
      <c r="C104" t="s">
        <v>653</v>
      </c>
      <c r="D104" t="s">
        <v>161</v>
      </c>
      <c r="E104" t="s">
        <v>445</v>
      </c>
      <c r="G104" t="s">
        <v>446</v>
      </c>
      <c r="I104">
        <v>0</v>
      </c>
      <c r="J104" t="s">
        <v>447</v>
      </c>
      <c r="K104" s="13">
        <v>46319</v>
      </c>
      <c r="M104" s="13"/>
    </row>
    <row r="105" spans="1:13" x14ac:dyDescent="0.25">
      <c r="A105" t="s">
        <v>654</v>
      </c>
      <c r="B105" t="s">
        <v>345</v>
      </c>
      <c r="C105" t="s">
        <v>655</v>
      </c>
      <c r="D105" t="s">
        <v>97</v>
      </c>
      <c r="E105" t="s">
        <v>445</v>
      </c>
      <c r="G105" t="s">
        <v>446</v>
      </c>
      <c r="I105">
        <v>0</v>
      </c>
      <c r="J105" t="s">
        <v>447</v>
      </c>
      <c r="K105" s="13">
        <v>46319</v>
      </c>
      <c r="M105" s="13"/>
    </row>
    <row r="106" spans="1:13" x14ac:dyDescent="0.25">
      <c r="A106" t="s">
        <v>656</v>
      </c>
      <c r="B106" t="s">
        <v>345</v>
      </c>
      <c r="C106" t="s">
        <v>657</v>
      </c>
      <c r="D106" t="s">
        <v>161</v>
      </c>
      <c r="E106" t="s">
        <v>438</v>
      </c>
      <c r="I106">
        <v>0</v>
      </c>
      <c r="K106" s="13"/>
      <c r="M106" s="13"/>
    </row>
    <row r="107" spans="1:13" x14ac:dyDescent="0.25">
      <c r="A107" t="s">
        <v>658</v>
      </c>
      <c r="B107" t="s">
        <v>345</v>
      </c>
      <c r="C107" t="s">
        <v>659</v>
      </c>
      <c r="D107" t="s">
        <v>161</v>
      </c>
      <c r="E107" t="s">
        <v>438</v>
      </c>
      <c r="I107">
        <v>0</v>
      </c>
      <c r="K107" s="13"/>
      <c r="M107" s="13"/>
    </row>
    <row r="108" spans="1:13" x14ac:dyDescent="0.25">
      <c r="A108" t="s">
        <v>660</v>
      </c>
      <c r="B108" t="s">
        <v>345</v>
      </c>
      <c r="C108" t="s">
        <v>661</v>
      </c>
      <c r="D108" t="s">
        <v>161</v>
      </c>
      <c r="E108" t="s">
        <v>438</v>
      </c>
      <c r="I108">
        <v>0</v>
      </c>
      <c r="K108" s="13"/>
      <c r="M108" s="13"/>
    </row>
    <row r="109" spans="1:13" x14ac:dyDescent="0.25">
      <c r="A109" t="s">
        <v>662</v>
      </c>
      <c r="B109" t="s">
        <v>350</v>
      </c>
      <c r="C109" t="s">
        <v>663</v>
      </c>
      <c r="D109" t="s">
        <v>311</v>
      </c>
      <c r="E109" t="s">
        <v>445</v>
      </c>
      <c r="G109" t="s">
        <v>446</v>
      </c>
      <c r="I109">
        <v>0</v>
      </c>
      <c r="J109" t="s">
        <v>447</v>
      </c>
      <c r="K109" s="13">
        <v>46319</v>
      </c>
      <c r="M109" s="13"/>
    </row>
    <row r="110" spans="1:13" x14ac:dyDescent="0.25">
      <c r="A110" t="s">
        <v>664</v>
      </c>
      <c r="B110" t="s">
        <v>350</v>
      </c>
      <c r="C110" t="s">
        <v>665</v>
      </c>
      <c r="D110" t="s">
        <v>161</v>
      </c>
      <c r="E110" t="s">
        <v>445</v>
      </c>
      <c r="G110" t="s">
        <v>446</v>
      </c>
      <c r="I110">
        <v>0</v>
      </c>
      <c r="J110" t="s">
        <v>447</v>
      </c>
      <c r="K110" s="13">
        <v>46319</v>
      </c>
      <c r="M110" s="13"/>
    </row>
    <row r="111" spans="1:13" x14ac:dyDescent="0.25">
      <c r="A111" t="s">
        <v>666</v>
      </c>
      <c r="B111" t="s">
        <v>350</v>
      </c>
      <c r="C111" t="s">
        <v>667</v>
      </c>
      <c r="D111" t="s">
        <v>311</v>
      </c>
      <c r="E111" t="s">
        <v>438</v>
      </c>
      <c r="I111">
        <v>0</v>
      </c>
      <c r="K111" s="13"/>
      <c r="M111" s="13"/>
    </row>
    <row r="112" spans="1:13" x14ac:dyDescent="0.25">
      <c r="A112" t="s">
        <v>668</v>
      </c>
      <c r="B112" t="s">
        <v>350</v>
      </c>
      <c r="C112" t="s">
        <v>669</v>
      </c>
      <c r="D112" t="s">
        <v>161</v>
      </c>
      <c r="E112" t="s">
        <v>438</v>
      </c>
      <c r="I112">
        <v>0</v>
      </c>
      <c r="K112" s="13"/>
      <c r="M112" s="13"/>
    </row>
    <row r="113" spans="1:13" x14ac:dyDescent="0.25">
      <c r="A113" t="s">
        <v>670</v>
      </c>
      <c r="B113" t="s">
        <v>350</v>
      </c>
      <c r="C113" t="s">
        <v>671</v>
      </c>
      <c r="D113" t="s">
        <v>97</v>
      </c>
      <c r="E113" t="s">
        <v>438</v>
      </c>
      <c r="I113">
        <v>0</v>
      </c>
      <c r="K113" s="13"/>
      <c r="M113" s="13"/>
    </row>
    <row r="114" spans="1:13" x14ac:dyDescent="0.25">
      <c r="A114" t="s">
        <v>672</v>
      </c>
      <c r="B114" t="s">
        <v>350</v>
      </c>
      <c r="C114" t="s">
        <v>673</v>
      </c>
      <c r="D114" t="s">
        <v>161</v>
      </c>
      <c r="E114" t="s">
        <v>438</v>
      </c>
      <c r="I114">
        <v>0</v>
      </c>
      <c r="K114" s="13"/>
      <c r="M114" s="13"/>
    </row>
    <row r="115" spans="1:13" x14ac:dyDescent="0.25">
      <c r="A115" t="s">
        <v>674</v>
      </c>
      <c r="B115" t="s">
        <v>354</v>
      </c>
      <c r="C115" t="s">
        <v>675</v>
      </c>
      <c r="D115" t="s">
        <v>161</v>
      </c>
      <c r="E115" t="s">
        <v>438</v>
      </c>
      <c r="I115">
        <v>0</v>
      </c>
      <c r="K115" s="13"/>
      <c r="M115" s="13"/>
    </row>
    <row r="116" spans="1:13" x14ac:dyDescent="0.25">
      <c r="A116" t="s">
        <v>676</v>
      </c>
      <c r="B116" t="s">
        <v>354</v>
      </c>
      <c r="C116" t="s">
        <v>677</v>
      </c>
      <c r="D116" t="s">
        <v>161</v>
      </c>
      <c r="E116" t="s">
        <v>438</v>
      </c>
      <c r="I116">
        <v>0</v>
      </c>
      <c r="K116" s="13"/>
      <c r="M116" s="13"/>
    </row>
    <row r="117" spans="1:13" x14ac:dyDescent="0.25">
      <c r="A117" t="s">
        <v>678</v>
      </c>
      <c r="B117" t="s">
        <v>354</v>
      </c>
      <c r="C117" t="s">
        <v>679</v>
      </c>
      <c r="D117" t="s">
        <v>161</v>
      </c>
      <c r="E117" t="s">
        <v>438</v>
      </c>
      <c r="I117">
        <v>0</v>
      </c>
      <c r="K117" s="13"/>
      <c r="M117" s="13"/>
    </row>
    <row r="118" spans="1:13" x14ac:dyDescent="0.25">
      <c r="A118" t="s">
        <v>680</v>
      </c>
      <c r="B118" t="s">
        <v>354</v>
      </c>
      <c r="C118" t="s">
        <v>681</v>
      </c>
      <c r="D118" t="s">
        <v>161</v>
      </c>
      <c r="E118" t="s">
        <v>438</v>
      </c>
      <c r="I118">
        <v>0</v>
      </c>
      <c r="K118" s="13"/>
      <c r="M118" s="13"/>
    </row>
    <row r="119" spans="1:13" x14ac:dyDescent="0.25">
      <c r="A119" t="s">
        <v>682</v>
      </c>
      <c r="B119" t="s">
        <v>354</v>
      </c>
      <c r="C119" t="s">
        <v>683</v>
      </c>
      <c r="D119" t="s">
        <v>311</v>
      </c>
      <c r="E119" t="s">
        <v>438</v>
      </c>
      <c r="I119">
        <v>0</v>
      </c>
      <c r="K119" s="13"/>
      <c r="M119" s="13"/>
    </row>
    <row r="120" spans="1:13" x14ac:dyDescent="0.25">
      <c r="A120" t="s">
        <v>684</v>
      </c>
      <c r="B120" t="s">
        <v>354</v>
      </c>
      <c r="C120" t="s">
        <v>685</v>
      </c>
      <c r="D120" t="s">
        <v>311</v>
      </c>
      <c r="E120" t="s">
        <v>445</v>
      </c>
      <c r="G120" t="s">
        <v>446</v>
      </c>
      <c r="I120">
        <v>0</v>
      </c>
      <c r="J120" t="s">
        <v>447</v>
      </c>
      <c r="K120" s="13">
        <v>46319</v>
      </c>
      <c r="M120" s="13"/>
    </row>
    <row r="121" spans="1:13" x14ac:dyDescent="0.25">
      <c r="A121" t="s">
        <v>686</v>
      </c>
      <c r="B121" t="s">
        <v>687</v>
      </c>
      <c r="C121" t="s">
        <v>688</v>
      </c>
      <c r="D121" t="s">
        <v>161</v>
      </c>
      <c r="E121" t="s">
        <v>438</v>
      </c>
      <c r="I121">
        <v>0</v>
      </c>
      <c r="K121" s="13"/>
      <c r="M121" s="13"/>
    </row>
    <row r="122" spans="1:13" x14ac:dyDescent="0.25">
      <c r="A122" t="s">
        <v>689</v>
      </c>
      <c r="B122" t="s">
        <v>687</v>
      </c>
      <c r="C122" t="s">
        <v>690</v>
      </c>
      <c r="D122" t="s">
        <v>161</v>
      </c>
      <c r="E122" t="s">
        <v>438</v>
      </c>
      <c r="I122">
        <v>0</v>
      </c>
      <c r="K122" s="13"/>
      <c r="M122" s="13"/>
    </row>
    <row r="123" spans="1:13" x14ac:dyDescent="0.25">
      <c r="A123" t="s">
        <v>691</v>
      </c>
      <c r="B123" t="s">
        <v>687</v>
      </c>
      <c r="C123" t="s">
        <v>692</v>
      </c>
      <c r="D123" t="s">
        <v>311</v>
      </c>
      <c r="E123" t="s">
        <v>438</v>
      </c>
      <c r="I123">
        <v>0</v>
      </c>
      <c r="K123" s="13"/>
      <c r="M123" s="13"/>
    </row>
    <row r="124" spans="1:13" x14ac:dyDescent="0.25">
      <c r="A124" t="s">
        <v>693</v>
      </c>
      <c r="B124" t="s">
        <v>687</v>
      </c>
      <c r="C124" t="s">
        <v>694</v>
      </c>
      <c r="D124" t="s">
        <v>161</v>
      </c>
      <c r="E124" t="s">
        <v>438</v>
      </c>
      <c r="I124">
        <v>0</v>
      </c>
      <c r="K124" s="13"/>
      <c r="M124" s="13"/>
    </row>
    <row r="125" spans="1:13" x14ac:dyDescent="0.25">
      <c r="A125" t="s">
        <v>695</v>
      </c>
      <c r="B125" t="s">
        <v>687</v>
      </c>
      <c r="C125" t="s">
        <v>696</v>
      </c>
      <c r="D125" t="s">
        <v>161</v>
      </c>
      <c r="E125" t="s">
        <v>438</v>
      </c>
      <c r="I125">
        <v>0</v>
      </c>
      <c r="K125" s="13"/>
      <c r="M125" s="13"/>
    </row>
    <row r="126" spans="1:13" x14ac:dyDescent="0.25">
      <c r="A126" t="s">
        <v>697</v>
      </c>
      <c r="B126" t="s">
        <v>687</v>
      </c>
      <c r="C126" t="s">
        <v>698</v>
      </c>
      <c r="D126" t="s">
        <v>311</v>
      </c>
      <c r="E126" t="s">
        <v>438</v>
      </c>
      <c r="I126">
        <v>0</v>
      </c>
      <c r="K126" s="13"/>
      <c r="M126" s="13"/>
    </row>
    <row r="127" spans="1:13" x14ac:dyDescent="0.25">
      <c r="A127" t="s">
        <v>699</v>
      </c>
      <c r="B127" t="s">
        <v>700</v>
      </c>
      <c r="C127" t="s">
        <v>701</v>
      </c>
      <c r="D127" t="s">
        <v>97</v>
      </c>
      <c r="E127" t="s">
        <v>438</v>
      </c>
      <c r="I127">
        <v>0</v>
      </c>
      <c r="K127" s="13"/>
      <c r="M127" s="13"/>
    </row>
    <row r="128" spans="1:13" x14ac:dyDescent="0.25">
      <c r="A128" t="s">
        <v>702</v>
      </c>
      <c r="B128" t="s">
        <v>700</v>
      </c>
      <c r="C128" t="s">
        <v>703</v>
      </c>
      <c r="D128" t="s">
        <v>161</v>
      </c>
      <c r="E128" t="s">
        <v>438</v>
      </c>
      <c r="I128">
        <v>0</v>
      </c>
      <c r="K128" s="13"/>
      <c r="M128" s="13"/>
    </row>
    <row r="129" spans="1:13" x14ac:dyDescent="0.25">
      <c r="A129" t="s">
        <v>704</v>
      </c>
      <c r="B129" t="s">
        <v>700</v>
      </c>
      <c r="C129" t="s">
        <v>705</v>
      </c>
      <c r="D129" t="s">
        <v>161</v>
      </c>
      <c r="E129" t="s">
        <v>438</v>
      </c>
      <c r="I129">
        <v>0</v>
      </c>
      <c r="K129" s="13"/>
      <c r="M129" s="13"/>
    </row>
    <row r="130" spans="1:13" x14ac:dyDescent="0.25">
      <c r="A130" t="s">
        <v>706</v>
      </c>
      <c r="B130" t="s">
        <v>700</v>
      </c>
      <c r="C130" t="s">
        <v>707</v>
      </c>
      <c r="D130" t="s">
        <v>97</v>
      </c>
      <c r="E130" t="s">
        <v>438</v>
      </c>
      <c r="I130">
        <v>0</v>
      </c>
      <c r="K130" s="13"/>
      <c r="M130" s="13"/>
    </row>
    <row r="131" spans="1:13" x14ac:dyDescent="0.25">
      <c r="A131" t="s">
        <v>708</v>
      </c>
      <c r="B131" t="s">
        <v>700</v>
      </c>
      <c r="C131" t="s">
        <v>709</v>
      </c>
      <c r="D131" t="s">
        <v>97</v>
      </c>
      <c r="E131" t="s">
        <v>438</v>
      </c>
      <c r="I131">
        <v>0</v>
      </c>
      <c r="K131" s="13"/>
      <c r="M131" s="13"/>
    </row>
    <row r="132" spans="1:13" x14ac:dyDescent="0.25">
      <c r="A132" t="s">
        <v>710</v>
      </c>
      <c r="B132" t="s">
        <v>700</v>
      </c>
      <c r="C132" t="s">
        <v>711</v>
      </c>
      <c r="D132" t="s">
        <v>161</v>
      </c>
      <c r="E132" t="s">
        <v>438</v>
      </c>
      <c r="I132">
        <v>0</v>
      </c>
      <c r="K132" s="13"/>
      <c r="M132" s="13"/>
    </row>
    <row r="133" spans="1:13" x14ac:dyDescent="0.25">
      <c r="A133" t="s">
        <v>712</v>
      </c>
      <c r="B133" t="s">
        <v>713</v>
      </c>
      <c r="C133" t="s">
        <v>714</v>
      </c>
      <c r="D133" t="s">
        <v>311</v>
      </c>
      <c r="E133" t="s">
        <v>438</v>
      </c>
      <c r="I133">
        <v>0</v>
      </c>
      <c r="K133" s="13"/>
      <c r="M133" s="13"/>
    </row>
    <row r="134" spans="1:13" x14ac:dyDescent="0.25">
      <c r="A134" t="s">
        <v>715</v>
      </c>
      <c r="B134" t="s">
        <v>713</v>
      </c>
      <c r="C134" t="s">
        <v>716</v>
      </c>
      <c r="D134" t="s">
        <v>161</v>
      </c>
      <c r="E134" t="s">
        <v>438</v>
      </c>
      <c r="I134">
        <v>0</v>
      </c>
      <c r="K134" s="13"/>
      <c r="M134" s="13"/>
    </row>
    <row r="135" spans="1:13" x14ac:dyDescent="0.25">
      <c r="A135" t="s">
        <v>717</v>
      </c>
      <c r="B135" t="s">
        <v>713</v>
      </c>
      <c r="C135" t="s">
        <v>718</v>
      </c>
      <c r="D135" t="s">
        <v>311</v>
      </c>
      <c r="E135" t="s">
        <v>438</v>
      </c>
      <c r="I135">
        <v>0</v>
      </c>
      <c r="K135" s="13"/>
      <c r="M135" s="13"/>
    </row>
    <row r="136" spans="1:13" x14ac:dyDescent="0.25">
      <c r="A136" t="s">
        <v>719</v>
      </c>
      <c r="B136" t="s">
        <v>713</v>
      </c>
      <c r="C136" t="s">
        <v>720</v>
      </c>
      <c r="D136" t="s">
        <v>161</v>
      </c>
      <c r="E136" t="s">
        <v>445</v>
      </c>
      <c r="G136" t="s">
        <v>446</v>
      </c>
      <c r="I136">
        <v>0</v>
      </c>
      <c r="J136" t="s">
        <v>447</v>
      </c>
      <c r="K136" s="13">
        <v>46319</v>
      </c>
      <c r="M136" s="13"/>
    </row>
    <row r="137" spans="1:13" x14ac:dyDescent="0.25">
      <c r="A137" t="s">
        <v>721</v>
      </c>
      <c r="B137" t="s">
        <v>713</v>
      </c>
      <c r="C137" t="s">
        <v>722</v>
      </c>
      <c r="D137" t="s">
        <v>161</v>
      </c>
      <c r="E137" t="s">
        <v>438</v>
      </c>
      <c r="I137">
        <v>0</v>
      </c>
      <c r="K137" s="13"/>
      <c r="M137" s="13"/>
    </row>
    <row r="138" spans="1:13" x14ac:dyDescent="0.25">
      <c r="A138" t="s">
        <v>723</v>
      </c>
      <c r="B138" t="s">
        <v>713</v>
      </c>
      <c r="C138" t="s">
        <v>724</v>
      </c>
      <c r="D138" t="s">
        <v>161</v>
      </c>
      <c r="E138" t="s">
        <v>438</v>
      </c>
      <c r="I138">
        <v>0</v>
      </c>
      <c r="K138" s="13"/>
      <c r="M138" s="13"/>
    </row>
    <row r="139" spans="1:13" x14ac:dyDescent="0.25">
      <c r="A139" t="s">
        <v>725</v>
      </c>
      <c r="B139" t="s">
        <v>713</v>
      </c>
      <c r="C139" t="s">
        <v>726</v>
      </c>
      <c r="D139" t="s">
        <v>97</v>
      </c>
      <c r="E139" t="s">
        <v>438</v>
      </c>
      <c r="I139">
        <v>0</v>
      </c>
      <c r="K139" s="13"/>
      <c r="M139" s="13"/>
    </row>
    <row r="140" spans="1:13" x14ac:dyDescent="0.25">
      <c r="A140" t="s">
        <v>727</v>
      </c>
      <c r="B140" t="s">
        <v>713</v>
      </c>
      <c r="C140" t="s">
        <v>728</v>
      </c>
      <c r="D140" t="s">
        <v>161</v>
      </c>
      <c r="E140" t="s">
        <v>438</v>
      </c>
      <c r="I140">
        <v>0</v>
      </c>
      <c r="K140" s="13"/>
      <c r="M140" s="13"/>
    </row>
    <row r="141" spans="1:13" x14ac:dyDescent="0.25">
      <c r="A141" t="s">
        <v>729</v>
      </c>
      <c r="B141" t="s">
        <v>713</v>
      </c>
      <c r="C141" t="s">
        <v>730</v>
      </c>
      <c r="D141" t="s">
        <v>311</v>
      </c>
      <c r="E141" t="s">
        <v>438</v>
      </c>
      <c r="I141">
        <v>0</v>
      </c>
      <c r="K141" s="13"/>
      <c r="M141" s="13"/>
    </row>
    <row r="142" spans="1:13" x14ac:dyDescent="0.25">
      <c r="A142" t="s">
        <v>731</v>
      </c>
      <c r="B142" t="s">
        <v>713</v>
      </c>
      <c r="C142" t="s">
        <v>732</v>
      </c>
      <c r="D142" t="s">
        <v>161</v>
      </c>
      <c r="E142" t="s">
        <v>438</v>
      </c>
      <c r="I142">
        <v>0</v>
      </c>
      <c r="K142" s="13"/>
      <c r="M142" s="13"/>
    </row>
    <row r="143" spans="1:13" x14ac:dyDescent="0.25">
      <c r="A143" t="s">
        <v>733</v>
      </c>
      <c r="B143" t="s">
        <v>713</v>
      </c>
      <c r="C143" t="s">
        <v>734</v>
      </c>
      <c r="D143" t="s">
        <v>311</v>
      </c>
      <c r="E143" t="s">
        <v>438</v>
      </c>
      <c r="I143">
        <v>0</v>
      </c>
      <c r="K143" s="13"/>
      <c r="M143" s="13"/>
    </row>
    <row r="144" spans="1:13" x14ac:dyDescent="0.25">
      <c r="A144" t="s">
        <v>735</v>
      </c>
      <c r="B144" t="s">
        <v>713</v>
      </c>
      <c r="C144" t="s">
        <v>736</v>
      </c>
      <c r="D144" t="s">
        <v>161</v>
      </c>
      <c r="E144" t="s">
        <v>445</v>
      </c>
      <c r="G144" t="s">
        <v>446</v>
      </c>
      <c r="I144">
        <v>0</v>
      </c>
      <c r="J144" t="s">
        <v>447</v>
      </c>
      <c r="K144" s="13">
        <v>46319</v>
      </c>
      <c r="M144" s="13"/>
    </row>
  </sheetData>
  <autoFilter ref="A4:M144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&amp;LHIRA Associates | Your GST Compliance Partner&amp;RPage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8" customWidth="1"/>
    <col min="3" max="3" width="10" customWidth="1"/>
    <col min="4" max="5" width="12" customWidth="1"/>
    <col min="6" max="6" width="10" customWidth="1"/>
    <col min="7" max="7" width="40" customWidth="1"/>
  </cols>
  <sheetData>
    <row r="1" spans="1:1" x14ac:dyDescent="0.25">
      <c r="A1" s="5" t="s">
        <v>737</v>
      </c>
    </row>
    <row r="2" spans="1:1" x14ac:dyDescent="0.25">
      <c r="A2" s="10" t="s">
        <v>1</v>
      </c>
    </row>
    <row r="4" ht="30" customHeight="1" spans="1:7" x14ac:dyDescent="0.25">
      <c r="A4" s="11" t="s">
        <v>738</v>
      </c>
      <c r="B4" s="11" t="s">
        <v>78</v>
      </c>
      <c r="C4" s="11" t="s">
        <v>739</v>
      </c>
      <c r="D4" s="11" t="s">
        <v>740</v>
      </c>
      <c r="E4" s="11" t="s">
        <v>87</v>
      </c>
      <c r="F4" s="11" t="s">
        <v>741</v>
      </c>
      <c r="G4" s="11" t="s">
        <v>742</v>
      </c>
    </row>
    <row r="5" spans="1:7" x14ac:dyDescent="0.25">
      <c r="A5" t="s">
        <v>743</v>
      </c>
      <c r="B5" t="s">
        <v>744</v>
      </c>
      <c r="C5" t="s">
        <v>97</v>
      </c>
      <c r="D5" s="13"/>
      <c r="E5" t="s">
        <v>745</v>
      </c>
      <c r="F5">
        <v>0</v>
      </c>
    </row>
    <row r="6" spans="1:7" x14ac:dyDescent="0.25">
      <c r="A6" t="s">
        <v>746</v>
      </c>
      <c r="B6" t="s">
        <v>747</v>
      </c>
      <c r="C6" t="s">
        <v>97</v>
      </c>
      <c r="D6" s="13"/>
      <c r="E6" t="s">
        <v>745</v>
      </c>
      <c r="F6">
        <v>0</v>
      </c>
    </row>
    <row r="7" spans="1:7" x14ac:dyDescent="0.25">
      <c r="A7" t="s">
        <v>748</v>
      </c>
      <c r="B7" t="s">
        <v>747</v>
      </c>
      <c r="C7" t="s">
        <v>97</v>
      </c>
      <c r="D7" s="13"/>
      <c r="E7" t="s">
        <v>745</v>
      </c>
      <c r="F7">
        <v>0</v>
      </c>
    </row>
    <row r="8" spans="1:7" x14ac:dyDescent="0.25">
      <c r="A8" t="s">
        <v>749</v>
      </c>
      <c r="B8" t="s">
        <v>750</v>
      </c>
      <c r="C8" t="s">
        <v>97</v>
      </c>
      <c r="D8" s="13"/>
      <c r="E8" t="s">
        <v>745</v>
      </c>
      <c r="F8">
        <v>0</v>
      </c>
    </row>
    <row r="9" spans="1:7" x14ac:dyDescent="0.25">
      <c r="A9" t="s">
        <v>751</v>
      </c>
      <c r="B9" t="s">
        <v>752</v>
      </c>
      <c r="C9" t="s">
        <v>97</v>
      </c>
      <c r="D9" s="13"/>
      <c r="E9" t="s">
        <v>745</v>
      </c>
      <c r="F9">
        <v>0</v>
      </c>
    </row>
    <row r="10" spans="1:7" x14ac:dyDescent="0.25">
      <c r="A10" t="s">
        <v>753</v>
      </c>
      <c r="B10" t="s">
        <v>752</v>
      </c>
      <c r="C10" t="s">
        <v>97</v>
      </c>
      <c r="D10" s="13"/>
      <c r="E10" t="s">
        <v>745</v>
      </c>
      <c r="F10">
        <v>0</v>
      </c>
    </row>
    <row r="11" spans="1:7" x14ac:dyDescent="0.25">
      <c r="A11" t="s">
        <v>754</v>
      </c>
      <c r="B11" t="s">
        <v>752</v>
      </c>
      <c r="C11" t="s">
        <v>97</v>
      </c>
      <c r="D11" s="13"/>
      <c r="E11" t="s">
        <v>745</v>
      </c>
      <c r="F11">
        <v>0</v>
      </c>
    </row>
    <row r="12" spans="1:7" x14ac:dyDescent="0.25">
      <c r="A12" t="s">
        <v>755</v>
      </c>
      <c r="B12" t="s">
        <v>747</v>
      </c>
      <c r="C12" t="s">
        <v>97</v>
      </c>
      <c r="D12" s="13"/>
      <c r="E12" t="s">
        <v>745</v>
      </c>
      <c r="F12">
        <v>0</v>
      </c>
    </row>
    <row r="13" spans="1:7" x14ac:dyDescent="0.25">
      <c r="A13" t="s">
        <v>756</v>
      </c>
      <c r="B13" t="s">
        <v>757</v>
      </c>
      <c r="C13" t="s">
        <v>758</v>
      </c>
      <c r="D13" s="13"/>
      <c r="E13" t="s">
        <v>745</v>
      </c>
      <c r="F13">
        <v>0</v>
      </c>
    </row>
    <row r="14" spans="1:7" x14ac:dyDescent="0.25">
      <c r="A14" t="s">
        <v>759</v>
      </c>
      <c r="B14" t="s">
        <v>760</v>
      </c>
      <c r="C14" t="s">
        <v>758</v>
      </c>
      <c r="D14" s="13"/>
      <c r="E14" t="s">
        <v>745</v>
      </c>
      <c r="F14">
        <v>0</v>
      </c>
    </row>
    <row r="15" spans="1:7" x14ac:dyDescent="0.25">
      <c r="A15" t="s">
        <v>761</v>
      </c>
      <c r="B15" t="s">
        <v>744</v>
      </c>
      <c r="C15" t="s">
        <v>758</v>
      </c>
      <c r="D15" s="13"/>
      <c r="E15" t="s">
        <v>745</v>
      </c>
      <c r="F15">
        <v>0</v>
      </c>
    </row>
    <row r="16" spans="1:7" x14ac:dyDescent="0.25">
      <c r="A16" t="s">
        <v>762</v>
      </c>
      <c r="B16" t="s">
        <v>744</v>
      </c>
      <c r="C16" t="s">
        <v>758</v>
      </c>
      <c r="D16" s="13"/>
      <c r="E16" t="s">
        <v>745</v>
      </c>
      <c r="F16">
        <v>0</v>
      </c>
    </row>
    <row r="17" spans="1:7" x14ac:dyDescent="0.25">
      <c r="A17" t="s">
        <v>763</v>
      </c>
      <c r="B17" t="s">
        <v>764</v>
      </c>
      <c r="C17" t="s">
        <v>758</v>
      </c>
      <c r="D17" s="13"/>
      <c r="E17" t="s">
        <v>745</v>
      </c>
      <c r="F17">
        <v>0</v>
      </c>
    </row>
    <row r="18" spans="1:7" x14ac:dyDescent="0.25">
      <c r="A18" t="s">
        <v>765</v>
      </c>
      <c r="B18" t="s">
        <v>766</v>
      </c>
      <c r="C18" t="s">
        <v>758</v>
      </c>
      <c r="D18" s="13"/>
      <c r="E18" t="s">
        <v>745</v>
      </c>
      <c r="F18">
        <v>0</v>
      </c>
    </row>
    <row r="19" spans="1:7" x14ac:dyDescent="0.25">
      <c r="A19" t="s">
        <v>767</v>
      </c>
      <c r="B19" t="s">
        <v>768</v>
      </c>
      <c r="C19" t="s">
        <v>758</v>
      </c>
      <c r="D19" s="13"/>
      <c r="E19" t="s">
        <v>745</v>
      </c>
      <c r="F19">
        <v>0</v>
      </c>
    </row>
    <row r="20" spans="1:7" x14ac:dyDescent="0.25">
      <c r="A20" t="s">
        <v>769</v>
      </c>
      <c r="B20" t="s">
        <v>770</v>
      </c>
      <c r="C20" t="s">
        <v>758</v>
      </c>
      <c r="D20" s="13"/>
      <c r="E20" t="s">
        <v>745</v>
      </c>
      <c r="F20">
        <v>0</v>
      </c>
    </row>
    <row r="21" spans="1:7" x14ac:dyDescent="0.25">
      <c r="A21" t="s">
        <v>771</v>
      </c>
      <c r="B21" t="s">
        <v>747</v>
      </c>
      <c r="C21" t="s">
        <v>758</v>
      </c>
      <c r="D21" s="13"/>
      <c r="E21" t="s">
        <v>745</v>
      </c>
      <c r="F21">
        <v>0</v>
      </c>
    </row>
    <row r="22" spans="1:7" x14ac:dyDescent="0.25">
      <c r="A22" t="s">
        <v>772</v>
      </c>
      <c r="B22" t="s">
        <v>747</v>
      </c>
      <c r="C22" t="s">
        <v>758</v>
      </c>
      <c r="D22" s="13"/>
      <c r="E22" t="s">
        <v>745</v>
      </c>
      <c r="F22">
        <v>0</v>
      </c>
    </row>
    <row r="23" spans="1:7" x14ac:dyDescent="0.25">
      <c r="A23" t="s">
        <v>773</v>
      </c>
      <c r="B23" t="s">
        <v>747</v>
      </c>
      <c r="C23" t="s">
        <v>758</v>
      </c>
      <c r="D23" s="13"/>
      <c r="E23" t="s">
        <v>745</v>
      </c>
      <c r="F23">
        <v>0</v>
      </c>
    </row>
    <row r="24" spans="1:7" x14ac:dyDescent="0.25">
      <c r="A24" t="s">
        <v>774</v>
      </c>
      <c r="B24" t="s">
        <v>747</v>
      </c>
      <c r="C24" t="s">
        <v>758</v>
      </c>
      <c r="D24" s="13"/>
      <c r="E24" t="s">
        <v>745</v>
      </c>
      <c r="F24">
        <v>0</v>
      </c>
    </row>
    <row r="25" spans="1:7" x14ac:dyDescent="0.25">
      <c r="A25" t="s">
        <v>775</v>
      </c>
      <c r="B25" t="s">
        <v>776</v>
      </c>
      <c r="C25" t="s">
        <v>758</v>
      </c>
      <c r="D25" s="13"/>
      <c r="E25" t="s">
        <v>745</v>
      </c>
      <c r="F25">
        <v>0</v>
      </c>
    </row>
    <row r="26" spans="1:7" x14ac:dyDescent="0.25">
      <c r="A26" t="s">
        <v>777</v>
      </c>
      <c r="B26" t="s">
        <v>776</v>
      </c>
      <c r="C26" t="s">
        <v>758</v>
      </c>
      <c r="D26" s="13"/>
      <c r="E26" t="s">
        <v>745</v>
      </c>
      <c r="F26">
        <v>0</v>
      </c>
    </row>
    <row r="27" spans="1:7" x14ac:dyDescent="0.25">
      <c r="A27" t="s">
        <v>778</v>
      </c>
      <c r="B27" t="s">
        <v>776</v>
      </c>
      <c r="C27" t="s">
        <v>758</v>
      </c>
      <c r="D27" s="13"/>
      <c r="E27" t="s">
        <v>745</v>
      </c>
      <c r="F27">
        <v>0</v>
      </c>
    </row>
  </sheetData>
  <autoFilter ref="A4:G27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&amp;LHIRA Associates | Your GST Compliance Partner&amp;RPage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60" customWidth="1"/>
    <col min="3" max="3" width="6" customWidth="1"/>
    <col min="4" max="4" width="20" customWidth="1"/>
    <col min="5" max="5" width="18" customWidth="1"/>
    <col min="6" max="6" width="12" customWidth="1"/>
    <col min="7" max="7" width="13" customWidth="1"/>
    <col min="8" max="8" width="16" style="4" customWidth="1"/>
    <col min="9" max="9" width="18" customWidth="1"/>
    <col min="10" max="10" width="12" customWidth="1"/>
    <col min="11" max="11" width="40" customWidth="1"/>
  </cols>
  <sheetData>
    <row r="1" spans="1:8" x14ac:dyDescent="0.25">
      <c r="A1" s="5" t="s">
        <v>41</v>
      </c>
      <c r="H1" s="4"/>
    </row>
    <row r="2" spans="1:8" x14ac:dyDescent="0.25">
      <c r="A2" s="10" t="s">
        <v>1</v>
      </c>
      <c r="H2" s="4"/>
    </row>
    <row r="4" ht="30" customHeight="1" spans="1:11" x14ac:dyDescent="0.25">
      <c r="A4" s="11" t="s">
        <v>700</v>
      </c>
      <c r="B4" s="11" t="s">
        <v>779</v>
      </c>
      <c r="C4" s="11" t="s">
        <v>403</v>
      </c>
      <c r="D4" s="11" t="s">
        <v>780</v>
      </c>
      <c r="E4" s="11" t="s">
        <v>781</v>
      </c>
      <c r="F4" s="11" t="s">
        <v>740</v>
      </c>
      <c r="G4" s="11" t="s">
        <v>782</v>
      </c>
      <c r="H4" s="12" t="s">
        <v>46</v>
      </c>
      <c r="I4" s="11" t="s">
        <v>783</v>
      </c>
      <c r="J4" s="11" t="s">
        <v>87</v>
      </c>
      <c r="K4" s="11" t="s">
        <v>784</v>
      </c>
    </row>
    <row r="5" spans="1:1" x14ac:dyDescent="0.25">
      <c r="A5" t="s">
        <v>392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&amp;LHIRA Associates | Your GST Compliance Partner&amp;RPage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A1 Financial impact</vt:lpstr>
      <vt:lpstr>A2 Observations</vt:lpstr>
      <vt:lpstr>A3 Exceptions</vt:lpstr>
      <vt:lpstr>A4 ITC mismatches</vt:lpstr>
      <vt:lpstr>A5 RCM</vt:lpstr>
      <vt:lpstr>A6 E-way bills</vt:lpstr>
      <vt:lpstr>A7 Exports</vt:lpstr>
      <vt:lpstr>A8 ISD</vt:lpstr>
      <vt:lpstr>A9 Vendors</vt:lpstr>
      <vt:lpstr>A10 Tax &amp; interest</vt:lpstr>
      <vt:lpstr>A11 Checklist</vt:lpstr>
      <vt:lpstr>A12 Pending documents</vt:lpstr>
      <vt:lpstr>A13 Action tracker</vt:lpstr>
    </vt:vector>
  </TitlesOfParts>
  <Company>HIRA Associates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 GST Audit 360°</dc:creator>
  <dc:title/>
  <dc:subject/>
  <dc:description/>
  <cp:keywords/>
  <cp:category/>
  <cp:lastModifiedBy>Unknown</cp:lastModifiedBy>
  <dcterms:created xsi:type="dcterms:W3CDTF">2026-10-24T12:48:13Z</dcterms:created>
  <dcterms:modified xsi:type="dcterms:W3CDTF">2026-10-24T12:48:14Z</dcterms:modified>
</cp:coreProperties>
</file>